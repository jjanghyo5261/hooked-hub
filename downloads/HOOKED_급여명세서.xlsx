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" sheetId="1" state="visible" r:id="rId3"/>
    <sheet name="정직원_명세서" sheetId="2" state="visible" r:id="rId4"/>
    <sheet name="알바1_명세서" sheetId="3" state="visible" r:id="rId5"/>
    <sheet name="알바2_명세서" sheetId="4" state="visible" r:id="rId6"/>
    <sheet name="근태기록부" sheetId="5" state="visible" r:id="rId7"/>
  </sheets>
  <definedNames>
    <definedName function="false" hidden="false" localSheetId="2" name="_xlnm.Print_Area" vbProcedure="false">알바1_명세서!$A$1:$G$46</definedName>
    <definedName function="false" hidden="false" localSheetId="3" name="_xlnm.Print_Area" vbProcedure="false">알바2_명세서!$A$1:$G$46</definedName>
    <definedName function="false" hidden="false" localSheetId="1" name="_xlnm.Print_Area" vbProcedure="false">정직원_명세서!$A$1:$G$49</definedName>
    <definedName function="false" hidden="false" name="EI_EE" vbProcedure="false">설정!$C$21</definedName>
    <definedName function="false" hidden="false" name="EI_ER" vbProcedure="false">설정!$C$25</definedName>
    <definedName function="false" hidden="false" name="FT_SALARY" vbProcedure="false">설정!$C$16</definedName>
    <definedName function="false" hidden="false" name="HI_EE" vbProcedure="false">설정!$C$19</definedName>
    <definedName function="false" hidden="false" name="HI_ER" vbProcedure="false">설정!$C$24</definedName>
    <definedName function="false" hidden="false" name="LTC" vbProcedure="false">설정!$C$20</definedName>
    <definedName function="false" hidden="false" name="NPS_EE" vbProcedure="false">설정!$C$18</definedName>
    <definedName function="false" hidden="false" name="NPS_ER" vbProcedure="false">설정!$C$23</definedName>
    <definedName function="false" hidden="false" name="PROB_RATE" vbProcedure="false">설정!$C$17</definedName>
    <definedName function="false" hidden="false" name="WAGE" vbProcedure="false">설정!$C$15</definedName>
    <definedName function="false" hidden="false" name="WC" vbProcedure="false">설정!$C$22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<sst xmlns="http://schemas.openxmlformats.org/spreadsheetml/2006/main" count="355" uniqueCount="154">
  <si>
    <r>
      <rPr>
        <b val="true"/>
        <sz val="18"/>
        <color rgb="FF1F2937"/>
        <rFont val="Arial"/>
        <family val="0"/>
        <charset val="1"/>
      </rPr>
      <t xml:space="preserve">HOOKED </t>
    </r>
    <r>
      <rPr>
        <b val="true"/>
        <sz val="18"/>
        <color rgb="FF1F2937"/>
        <rFont val="DejaVu Sans"/>
        <family val="2"/>
      </rPr>
      <t xml:space="preserve">급여 설정 시트</t>
    </r>
  </si>
  <si>
    <r>
      <rPr>
        <i val="true"/>
        <sz val="9"/>
        <color rgb="FF6B7280"/>
        <rFont val="DejaVu Sans"/>
        <family val="2"/>
      </rPr>
      <t xml:space="preserve">ⓘ 이 시트의 노란색 셀만 수정하면 모든 명세서가 자동으로 업데이트됩니다</t>
    </r>
    <r>
      <rPr>
        <i val="true"/>
        <sz val="9"/>
        <color rgb="FF6B7280"/>
        <rFont val="Arial"/>
        <family val="0"/>
        <charset val="1"/>
      </rPr>
      <t xml:space="preserve">.</t>
    </r>
  </si>
  <si>
    <t xml:space="preserve">사업장 정보</t>
  </si>
  <si>
    <t xml:space="preserve">상호</t>
  </si>
  <si>
    <t xml:space="preserve">HOOKED</t>
  </si>
  <si>
    <t xml:space="preserve">사업자등록번호</t>
  </si>
  <si>
    <r>
      <rPr>
        <b val="true"/>
        <sz val="10"/>
        <color rgb="FF0000FF"/>
        <rFont val="Arial"/>
        <family val="0"/>
        <charset val="1"/>
      </rPr>
      <t xml:space="preserve">(</t>
    </r>
    <r>
      <rPr>
        <b val="true"/>
        <sz val="10"/>
        <color rgb="FF0000FF"/>
        <rFont val="DejaVu Sans"/>
        <family val="2"/>
      </rPr>
      <t xml:space="preserve">직접 입력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</si>
  <si>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대표자</t>
  </si>
  <si>
    <t xml:space="preserve">사업장 주소</t>
  </si>
  <si>
    <t xml:space="preserve">연락처</t>
  </si>
  <si>
    <r>
      <rPr>
        <b val="true"/>
        <sz val="11"/>
        <color rgb="FF8B1E2D"/>
        <rFont val="DejaVu Sans"/>
        <family val="2"/>
      </rPr>
      <t xml:space="preserve">임금 </t>
    </r>
    <r>
      <rPr>
        <b val="true"/>
        <sz val="11"/>
        <color rgb="FF8B1E2D"/>
        <rFont val="Arial"/>
        <family val="0"/>
        <charset val="1"/>
      </rPr>
      <t xml:space="preserve">· </t>
    </r>
    <r>
      <rPr>
        <b val="true"/>
        <sz val="11"/>
        <color rgb="FF8B1E2D"/>
        <rFont val="DejaVu Sans"/>
        <family val="2"/>
      </rPr>
      <t xml:space="preserve">요율 </t>
    </r>
    <r>
      <rPr>
        <b val="true"/>
        <sz val="11"/>
        <color rgb="FF8B1E2D"/>
        <rFont val="Arial"/>
        <family val="0"/>
        <charset val="1"/>
      </rPr>
      <t xml:space="preserve">(2025</t>
    </r>
    <r>
      <rPr>
        <b val="true"/>
        <sz val="11"/>
        <color rgb="FF8B1E2D"/>
        <rFont val="DejaVu Sans"/>
        <family val="2"/>
      </rPr>
      <t xml:space="preserve">년 기준 </t>
    </r>
    <r>
      <rPr>
        <b val="true"/>
        <sz val="11"/>
        <color rgb="FF8B1E2D"/>
        <rFont val="Arial"/>
        <family val="0"/>
        <charset val="1"/>
      </rPr>
      <t xml:space="preserve">/ </t>
    </r>
    <r>
      <rPr>
        <b val="true"/>
        <sz val="11"/>
        <color rgb="FF8B1E2D"/>
        <rFont val="DejaVu Sans"/>
        <family val="2"/>
      </rPr>
      <t xml:space="preserve">변경 시 이 셀만 수정</t>
    </r>
    <r>
      <rPr>
        <b val="true"/>
        <sz val="11"/>
        <color rgb="FF8B1E2D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</si>
  <si>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최저시급 </t>
    </r>
    <r>
      <rPr>
        <b val="true"/>
        <sz val="10"/>
        <rFont val="Arial"/>
        <family val="0"/>
        <charset val="1"/>
      </rPr>
      <t xml:space="preserve">(2025</t>
    </r>
    <r>
      <rPr>
        <b val="true"/>
        <sz val="10"/>
        <rFont val="DejaVu Sans"/>
        <family val="2"/>
      </rPr>
      <t xml:space="preserve">년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</si>
  <si>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B7280"/>
        <rFont val="DejaVu Sans"/>
        <family val="2"/>
      </rPr>
      <t xml:space="preserve">원</t>
    </r>
    <r>
      <rPr>
        <i val="true"/>
        <sz val="9"/>
        <color rgb="FF6B7280"/>
        <rFont val="Arial"/>
        <family val="0"/>
        <charset val="1"/>
      </rPr>
      <t xml:space="preserve">/</t>
    </r>
    <r>
      <rPr>
        <i val="true"/>
        <sz val="9"/>
        <color rgb="FF6B7280"/>
        <rFont val="DejaVu Sans"/>
        <family val="2"/>
      </rPr>
      <t xml:space="preserve">시간</t>
    </r>
  </si>
  <si>
    <r>
      <rPr>
        <b val="true"/>
        <sz val="10"/>
        <rFont val="DejaVu Sans"/>
        <family val="2"/>
      </rPr>
      <t xml:space="preserve">정직원 월급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수습 종료 후</t>
    </r>
    <r>
      <rPr>
        <b val="true"/>
        <sz val="10"/>
        <rFont val="Arial"/>
        <family val="0"/>
        <charset val="1"/>
      </rPr>
      <t xml:space="preserve">)</t>
    </r>
  </si>
  <si>
    <t xml:space="preserve">원</t>
  </si>
  <si>
    <t xml:space="preserve">정직원 수습기간 지급률</t>
  </si>
  <si>
    <t xml:space="preserve">(0.9 = 90%)</t>
  </si>
  <si>
    <r>
      <rPr>
        <b val="true"/>
        <sz val="10"/>
        <rFont val="DejaVu Sans"/>
        <family val="2"/>
      </rPr>
      <t xml:space="preserve">국민연금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근로자</t>
    </r>
    <r>
      <rPr>
        <b val="true"/>
        <sz val="10"/>
        <rFont val="Arial"/>
        <family val="0"/>
        <charset val="1"/>
      </rPr>
      <t xml:space="preserve">)</t>
    </r>
  </si>
  <si>
    <t xml:space="preserve">(4.5%)</t>
  </si>
  <si>
    <r>
      <rPr>
        <b val="true"/>
        <sz val="10"/>
        <rFont val="DejaVu Sans"/>
        <family val="2"/>
      </rPr>
      <t xml:space="preserve">건강보험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근로자</t>
    </r>
    <r>
      <rPr>
        <b val="true"/>
        <sz val="10"/>
        <rFont val="Arial"/>
        <family val="0"/>
        <charset val="1"/>
      </rPr>
      <t xml:space="preserve">)</t>
    </r>
  </si>
  <si>
    <t xml:space="preserve">(3.545%)</t>
  </si>
  <si>
    <r>
      <rPr>
        <b val="true"/>
        <sz val="10"/>
        <rFont val="DejaVu Sans"/>
        <family val="2"/>
      </rPr>
      <t xml:space="preserve">장기요양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건보료의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</si>
  <si>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DejaVu Sans"/>
        <family val="2"/>
      </rPr>
      <t xml:space="preserve">건보의 </t>
    </r>
    <r>
      <rPr>
        <i val="true"/>
        <sz val="9"/>
        <color rgb="FF6B7280"/>
        <rFont val="Arial"/>
        <family val="0"/>
        <charset val="1"/>
      </rPr>
      <t xml:space="preserve">12.95%)</t>
    </r>
  </si>
  <si>
    <r>
      <rPr>
        <b val="true"/>
        <sz val="10"/>
        <rFont val="DejaVu Sans"/>
        <family val="2"/>
      </rPr>
      <t xml:space="preserve">고용보험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근로자</t>
    </r>
    <r>
      <rPr>
        <b val="true"/>
        <sz val="10"/>
        <rFont val="Arial"/>
        <family val="0"/>
        <charset val="1"/>
      </rPr>
      <t xml:space="preserve">)</t>
    </r>
  </si>
  <si>
    <t xml:space="preserve">(0.9%)</t>
  </si>
  <si>
    <r>
      <rPr>
        <b val="true"/>
        <sz val="10"/>
        <rFont val="DejaVu Sans"/>
        <family val="2"/>
      </rPr>
      <t xml:space="preserve">산재보험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사업주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DejaVu Sans"/>
        <family val="2"/>
      </rPr>
      <t xml:space="preserve">음식점업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</si>
  <si>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DejaVu Sans"/>
        <family val="2"/>
      </rPr>
      <t xml:space="preserve">약 </t>
    </r>
    <r>
      <rPr>
        <i val="true"/>
        <sz val="9"/>
        <color rgb="FF6B7280"/>
        <rFont val="Arial"/>
        <family val="0"/>
        <charset val="1"/>
      </rPr>
      <t xml:space="preserve">0.85%)</t>
    </r>
  </si>
  <si>
    <r>
      <rPr>
        <b val="true"/>
        <sz val="10"/>
        <rFont val="DejaVu Sans"/>
        <family val="2"/>
      </rPr>
      <t xml:space="preserve">국민연금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사업주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</si>
  <si>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건강보험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사업주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</si>
  <si>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고용보험 요율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사업주</t>
    </r>
    <r>
      <rPr>
        <b val="true"/>
        <sz val="10"/>
        <rFont val="Arial"/>
        <family val="0"/>
        <charset val="1"/>
      </rPr>
      <t xml:space="preserve">)</t>
    </r>
  </si>
  <si>
    <t xml:space="preserve">(1.15%)</t>
  </si>
  <si>
    <t xml:space="preserve">💡 사용법</t>
  </si>
  <si>
    <r>
      <rPr>
        <sz val="10"/>
        <rFont val="Arial"/>
        <family val="0"/>
        <charset val="1"/>
      </rPr>
      <t xml:space="preserve">1. </t>
    </r>
    <r>
      <rPr>
        <sz val="10"/>
        <rFont val="DejaVu Sans"/>
        <family val="2"/>
      </rPr>
      <t xml:space="preserve">위 노란색 셀은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년에 한 번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최저임금 인상 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업데이트하면 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</si>
  <si>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DejaVu Sans"/>
        <family val="2"/>
      </rPr>
      <t xml:space="preserve">매달 </t>
    </r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정직원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명세서</t>
    </r>
    <r>
      <rPr>
        <sz val="10"/>
        <rFont val="Arial"/>
        <family val="0"/>
        <charset val="1"/>
      </rPr>
      <t xml:space="preserve">], [</t>
    </r>
    <r>
      <rPr>
        <sz val="10"/>
        <rFont val="DejaVu Sans"/>
        <family val="2"/>
      </rPr>
      <t xml:space="preserve">알바</t>
    </r>
    <r>
      <rPr>
        <sz val="10"/>
        <rFont val="Arial"/>
        <family val="0"/>
        <charset val="1"/>
      </rPr>
      <t xml:space="preserve">1_</t>
    </r>
    <r>
      <rPr>
        <sz val="10"/>
        <rFont val="DejaVu Sans"/>
        <family val="2"/>
      </rPr>
      <t xml:space="preserve">명세서</t>
    </r>
    <r>
      <rPr>
        <sz val="10"/>
        <rFont val="Arial"/>
        <family val="0"/>
        <charset val="1"/>
      </rPr>
      <t xml:space="preserve">], [</t>
    </r>
    <r>
      <rPr>
        <sz val="10"/>
        <rFont val="DejaVu Sans"/>
        <family val="2"/>
      </rPr>
      <t xml:space="preserve">알바</t>
    </r>
    <r>
      <rPr>
        <sz val="10"/>
        <rFont val="Arial"/>
        <family val="0"/>
        <charset val="1"/>
      </rPr>
      <t xml:space="preserve">2_</t>
    </r>
    <r>
      <rPr>
        <sz val="10"/>
        <rFont val="DejaVu Sans"/>
        <family val="2"/>
      </rPr>
      <t xml:space="preserve">명세서</t>
    </r>
    <r>
      <rPr>
        <sz val="10"/>
        <rFont val="Arial"/>
        <family val="0"/>
        <charset val="1"/>
      </rPr>
      <t xml:space="preserve">] </t>
    </r>
    <r>
      <rPr>
        <sz val="10"/>
        <rFont val="DejaVu Sans"/>
        <family val="2"/>
      </rPr>
      <t xml:space="preserve">시트의 </t>
    </r>
    <r>
      <rPr>
        <sz val="10"/>
        <rFont val="Arial"/>
        <family val="0"/>
        <charset val="1"/>
      </rPr>
      <t xml:space="preserve">'C5:C8' </t>
    </r>
    <r>
      <rPr>
        <sz val="10"/>
        <rFont val="DejaVu Sans"/>
        <family val="2"/>
      </rPr>
      <t xml:space="preserve">노란 셀에</t>
    </r>
  </si>
  <si>
    <r>
      <rPr>
        <sz val="10"/>
        <rFont val="DejaVu Sans"/>
        <family val="2"/>
      </rPr>
      <t xml:space="preserve">    근무월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시간만 입력하면 자동 계산됩니다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</si>
  <si>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DejaVu Sans"/>
        <family val="2"/>
      </rPr>
      <t xml:space="preserve">인쇄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각 명세서 시트에서 </t>
    </r>
    <r>
      <rPr>
        <sz val="10"/>
        <rFont val="Arial"/>
        <family val="0"/>
        <charset val="1"/>
      </rPr>
      <t xml:space="preserve">Ctrl+P → </t>
    </r>
    <r>
      <rPr>
        <sz val="10"/>
        <rFont val="DejaVu Sans"/>
        <family val="2"/>
      </rPr>
      <t xml:space="preserve">자동으로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페이지에 맞춰 출력됩니다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</si>
  <si>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DejaVu Sans"/>
        <family val="2"/>
      </rPr>
      <t xml:space="preserve">보관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인쇄본은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년 이상 보관 의무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파일도 매월 다른 이름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Arial"/>
        <family val="0"/>
        <charset val="1"/>
      </rPr>
      <t xml:space="preserve">: 2026-05.xlsx)</t>
    </r>
    <r>
      <rPr>
        <sz val="10"/>
        <rFont val="DejaVu Sans"/>
        <family val="2"/>
      </rPr>
      <t xml:space="preserve">으로 저장 권장</t>
    </r>
    <r>
      <rPr>
        <sz val="10"/>
        <rFont val="Arial"/>
        <family val="0"/>
        <charset val="1"/>
      </rPr>
      <t xml:space="preserve">.</t>
    </r>
  </si>
  <si>
    <t xml:space="preserve">임 금 명 세 서</t>
  </si>
  <si>
    <t xml:space="preserve">Wage Statement</t>
  </si>
  <si>
    <t xml:space="preserve">근로자 정보</t>
  </si>
  <si>
    <t xml:space="preserve">성명</t>
  </si>
  <si>
    <r>
      <rPr>
        <b val="true"/>
        <sz val="10"/>
        <color rgb="FF0000FF"/>
        <rFont val="Arial"/>
        <family val="0"/>
        <charset val="1"/>
      </rPr>
      <t xml:space="preserve">○○○ (</t>
    </r>
    <r>
      <rPr>
        <b val="true"/>
        <sz val="10"/>
        <color rgb="FF0000FF"/>
        <rFont val="DejaVu Sans"/>
        <family val="2"/>
      </rPr>
      <t xml:space="preserve">정직원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</si>
  <si>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생년월일</t>
  </si>
  <si>
    <t xml:space="preserve">(YYYY-MM-DD)</t>
  </si>
  <si>
    <t xml:space="preserve">직위</t>
  </si>
  <si>
    <t xml:space="preserve">홀 매니저</t>
  </si>
  <si>
    <t xml:space="preserve">입사일</t>
  </si>
  <si>
    <r>
      <rPr>
        <b val="true"/>
        <sz val="11"/>
        <color rgb="FF8B1E2D"/>
        <rFont val="DejaVu Sans"/>
        <family val="2"/>
      </rPr>
      <t xml:space="preserve">급여 산정기간 </t>
    </r>
    <r>
      <rPr>
        <b val="true"/>
        <sz val="11"/>
        <color rgb="FF8B1E2D"/>
        <rFont val="Arial"/>
        <family val="0"/>
        <charset val="1"/>
      </rPr>
      <t xml:space="preserve">· </t>
    </r>
    <r>
      <rPr>
        <b val="true"/>
        <sz val="11"/>
        <color rgb="FF8B1E2D"/>
        <rFont val="DejaVu Sans"/>
        <family val="2"/>
      </rPr>
      <t xml:space="preserve">지급일</t>
    </r>
  </si>
  <si>
    <t xml:space="preserve">산정기간</t>
  </si>
  <si>
    <t xml:space="preserve">2026-04-01 ~ 2026-04-30</t>
  </si>
  <si>
    <t xml:space="preserve">지급일</t>
  </si>
  <si>
    <t xml:space="preserve">2026-05-10</t>
  </si>
  <si>
    <r>
      <rPr>
        <b val="true"/>
        <sz val="11"/>
        <color rgb="FF8B1E2D"/>
        <rFont val="DejaVu Sans"/>
        <family val="2"/>
      </rPr>
      <t xml:space="preserve">근무 정보 </t>
    </r>
    <r>
      <rPr>
        <b val="true"/>
        <sz val="11"/>
        <color rgb="FF8B1E2D"/>
        <rFont val="Arial"/>
        <family val="0"/>
        <charset val="1"/>
      </rPr>
      <t xml:space="preserve">(</t>
    </r>
    <r>
      <rPr>
        <b val="true"/>
        <sz val="11"/>
        <color rgb="FF8B1E2D"/>
        <rFont val="DejaVu Sans"/>
        <family val="2"/>
      </rPr>
      <t xml:space="preserve">월 합계</t>
    </r>
    <r>
      <rPr>
        <b val="true"/>
        <sz val="11"/>
        <color rgb="FF8B1E2D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</si>
  <si>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월 고정급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수습률 포함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</si>
  <si>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B7280"/>
        <rFont val="DejaVu Sans"/>
        <family val="2"/>
      </rPr>
      <t xml:space="preserve">수습기간 </t>
    </r>
    <r>
      <rPr>
        <i val="true"/>
        <sz val="9"/>
        <color rgb="FF6B7280"/>
        <rFont val="Arial"/>
        <family val="0"/>
        <charset val="1"/>
      </rPr>
      <t xml:space="preserve">90% / </t>
    </r>
    <r>
      <rPr>
        <i val="true"/>
        <sz val="9"/>
        <color rgb="FF6B7280"/>
        <rFont val="DejaVu Sans"/>
        <family val="2"/>
      </rPr>
      <t xml:space="preserve">수습 종료 시 </t>
    </r>
    <r>
      <rPr>
        <i val="true"/>
        <sz val="9"/>
        <color rgb="FF6B7280"/>
        <rFont val="Arial"/>
        <family val="0"/>
        <charset val="1"/>
      </rPr>
      <t xml:space="preserve">[</t>
    </r>
    <r>
      <rPr>
        <i val="true"/>
        <sz val="9"/>
        <color rgb="FF6B7280"/>
        <rFont val="DejaVu Sans"/>
        <family val="2"/>
      </rPr>
      <t xml:space="preserve">설정</t>
    </r>
    <r>
      <rPr>
        <i val="true"/>
        <sz val="9"/>
        <color rgb="FF6B7280"/>
        <rFont val="Arial"/>
        <family val="0"/>
        <charset val="1"/>
      </rPr>
      <t xml:space="preserve">] </t>
    </r>
    <r>
      <rPr>
        <i val="true"/>
        <sz val="9"/>
        <color rgb="FF6B7280"/>
        <rFont val="DejaVu Sans"/>
        <family val="2"/>
      </rPr>
      <t xml:space="preserve">시트에서 </t>
    </r>
    <r>
      <rPr>
        <i val="true"/>
        <sz val="9"/>
        <color rgb="FF6B7280"/>
        <rFont val="Arial"/>
        <family val="0"/>
        <charset val="1"/>
      </rPr>
      <t xml:space="preserve">100%</t>
    </r>
    <r>
      <rPr>
        <i val="true"/>
        <sz val="9"/>
        <color rgb="FF6B7280"/>
        <rFont val="DejaVu Sans"/>
        <family val="2"/>
      </rPr>
      <t xml:space="preserve">로 변경</t>
    </r>
  </si>
  <si>
    <r>
      <rPr>
        <b val="true"/>
        <sz val="10"/>
        <rFont val="DejaVu Sans"/>
        <family val="2"/>
      </rPr>
      <t xml:space="preserve">월 소정근로시간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</si>
  <si>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B7280"/>
        <rFont val="DejaVu Sans"/>
        <family val="2"/>
      </rPr>
      <t xml:space="preserve">월</t>
    </r>
    <r>
      <rPr>
        <i val="true"/>
        <sz val="9"/>
        <color rgb="FF6B7280"/>
        <rFont val="Arial"/>
        <family val="0"/>
        <charset val="1"/>
      </rPr>
      <t xml:space="preserve">~</t>
    </r>
    <r>
      <rPr>
        <i val="true"/>
        <sz val="9"/>
        <color rgb="FF6B7280"/>
        <rFont val="DejaVu Sans"/>
        <family val="2"/>
      </rPr>
      <t xml:space="preserve">금 </t>
    </r>
    <r>
      <rPr>
        <i val="true"/>
        <sz val="9"/>
        <color rgb="FF6B7280"/>
        <rFont val="Arial"/>
        <family val="0"/>
        <charset val="1"/>
      </rPr>
      <t xml:space="preserve">5.5h × 22</t>
    </r>
    <r>
      <rPr>
        <i val="true"/>
        <sz val="9"/>
        <color rgb="FF6B7280"/>
        <rFont val="DejaVu Sans"/>
        <family val="2"/>
      </rPr>
      <t xml:space="preserve">일 ≈ </t>
    </r>
    <r>
      <rPr>
        <i val="true"/>
        <sz val="9"/>
        <color rgb="FF6B7280"/>
        <rFont val="Arial"/>
        <family val="0"/>
        <charset val="1"/>
      </rPr>
      <t xml:space="preserve">121h (</t>
    </r>
    <r>
      <rPr>
        <i val="true"/>
        <sz val="9"/>
        <color rgb="FF6B7280"/>
        <rFont val="DejaVu Sans"/>
        <family val="2"/>
      </rPr>
      <t xml:space="preserve">수습기간 </t>
    </r>
    <r>
      <rPr>
        <i val="true"/>
        <sz val="9"/>
        <color rgb="FF6B7280"/>
        <rFont val="Arial"/>
        <family val="0"/>
        <charset val="1"/>
      </rPr>
      <t xml:space="preserve">[</t>
    </r>
    <r>
      <rPr>
        <i val="true"/>
        <sz val="9"/>
        <color rgb="FF6B7280"/>
        <rFont val="DejaVu Sans"/>
        <family val="2"/>
      </rPr>
      <t xml:space="preserve">설정</t>
    </r>
    <r>
      <rPr>
        <i val="true"/>
        <sz val="9"/>
        <color rgb="FF6B7280"/>
        <rFont val="Arial"/>
        <family val="0"/>
        <charset val="1"/>
      </rPr>
      <t xml:space="preserve">]</t>
    </r>
    <r>
      <rPr>
        <i val="true"/>
        <sz val="9"/>
        <color rgb="FF6B7280"/>
        <rFont val="DejaVu Sans"/>
        <family val="2"/>
      </rPr>
      <t xml:space="preserve">시트 비율 적용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</si>
  <si>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지급 항목 </t>
    </r>
    <r>
      <rPr>
        <b val="true"/>
        <sz val="12"/>
        <color rgb="FFFFFFFF"/>
        <rFont val="Arial"/>
        <family val="0"/>
        <charset val="1"/>
      </rPr>
      <t xml:space="preserve">(Earnings)</t>
    </r>
  </si>
  <si>
    <t xml:space="preserve">구분</t>
  </si>
  <si>
    <t xml:space="preserve">계산식</t>
  </si>
  <si>
    <t xml:space="preserve">금액</t>
  </si>
  <si>
    <t xml:space="preserve">기본급</t>
  </si>
  <si>
    <t xml:space="preserve">주휴수당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</si>
  <si>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월급에 포함</t>
    </r>
    <r>
      <rPr>
        <sz val="11"/>
        <color theme="1"/>
        <rFont val="Calibri"/>
        <family val="2"/>
        <charset val="1"/>
      </rPr>
      <t xml:space="preserve">)</t>
    </r>
  </si>
  <si>
    <t xml:space="preserve">지급 총액</t>
  </si>
  <si>
    <r>
      <rPr>
        <b val="true"/>
        <sz val="12"/>
        <color rgb="FFFFFFFF"/>
        <rFont val="DejaVu Sans"/>
        <family val="2"/>
      </rPr>
      <t xml:space="preserve">공제 항목 </t>
    </r>
    <r>
      <rPr>
        <b val="true"/>
        <sz val="12"/>
        <color rgb="FFFFFFFF"/>
        <rFont val="Arial"/>
        <family val="0"/>
        <charset val="1"/>
      </rPr>
      <t xml:space="preserve">(Deductions)</t>
    </r>
  </si>
  <si>
    <t xml:space="preserve">요율</t>
  </si>
  <si>
    <t xml:space="preserve">국민연금</t>
  </si>
  <si>
    <t xml:space="preserve">건강보험</t>
  </si>
  <si>
    <t xml:space="preserve">장기요양보험</t>
  </si>
  <si>
    <t xml:space="preserve">고용보험</t>
  </si>
  <si>
    <r>
      <rPr>
        <sz val="10"/>
        <rFont val="DejaVu Sans"/>
        <family val="2"/>
      </rPr>
      <t xml:space="preserve">소득세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간이세액표</t>
    </r>
    <r>
      <rPr>
        <sz val="10"/>
        <rFont val="Arial"/>
        <family val="0"/>
        <charset val="1"/>
      </rPr>
      <t xml:space="preserve">)</t>
    </r>
  </si>
  <si>
    <t xml:space="preserve">참조</t>
  </si>
  <si>
    <r>
      <rPr>
        <sz val="10"/>
        <rFont val="DejaVu Sans"/>
        <family val="2"/>
      </rPr>
      <t xml:space="preserve">지방소득세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소득세 </t>
    </r>
    <r>
      <rPr>
        <sz val="10"/>
        <rFont val="Arial"/>
        <family val="0"/>
        <charset val="1"/>
      </rPr>
      <t xml:space="preserve">10%)</t>
    </r>
  </si>
  <si>
    <t xml:space="preserve">10%</t>
  </si>
  <si>
    <t xml:space="preserve">공제 총액</t>
  </si>
  <si>
    <r>
      <rPr>
        <b val="true"/>
        <sz val="14"/>
        <color rgb="FFFFFFFF"/>
        <rFont val="DejaVu Sans"/>
        <family val="2"/>
      </rPr>
      <t xml:space="preserve">실지급액 </t>
    </r>
    <r>
      <rPr>
        <b val="true"/>
        <sz val="14"/>
        <color rgb="FFFFFFFF"/>
        <rFont val="Arial"/>
        <family val="0"/>
        <charset val="1"/>
      </rPr>
      <t xml:space="preserve">(Net Pay)</t>
    </r>
  </si>
  <si>
    <r>
      <rPr>
        <b val="true"/>
        <sz val="10"/>
        <color rgb="FF1F2937"/>
        <rFont val="Arial"/>
        <family val="0"/>
        <charset val="1"/>
      </rPr>
      <t xml:space="preserve">[</t>
    </r>
    <r>
      <rPr>
        <b val="true"/>
        <sz val="10"/>
        <color rgb="FF1F2937"/>
        <rFont val="DejaVu Sans"/>
        <family val="2"/>
      </rPr>
      <t xml:space="preserve">참고</t>
    </r>
    <r>
      <rPr>
        <b val="true"/>
        <sz val="10"/>
        <color rgb="FF1F2937"/>
        <rFont val="Arial"/>
        <family val="0"/>
        <charset val="1"/>
      </rPr>
      <t xml:space="preserve">] </t>
    </r>
    <r>
      <rPr>
        <b val="true"/>
        <sz val="10"/>
        <color rgb="FF1F2937"/>
        <rFont val="DejaVu Sans"/>
        <family val="2"/>
      </rPr>
      <t xml:space="preserve">사업주 부담 </t>
    </r>
    <r>
      <rPr>
        <b val="true"/>
        <sz val="10"/>
        <color rgb="FF1F2937"/>
        <rFont val="Arial"/>
        <family val="0"/>
        <charset val="1"/>
      </rPr>
      <t xml:space="preserve">4</t>
    </r>
    <r>
      <rPr>
        <b val="true"/>
        <sz val="10"/>
        <color rgb="FF1F2937"/>
        <rFont val="DejaVu Sans"/>
        <family val="2"/>
      </rPr>
      <t xml:space="preserve">대보험 </t>
    </r>
    <r>
      <rPr>
        <b val="true"/>
        <sz val="10"/>
        <color rgb="FF1F2937"/>
        <rFont val="Arial"/>
        <family val="0"/>
        <charset val="1"/>
      </rPr>
      <t xml:space="preserve">(</t>
    </r>
    <r>
      <rPr>
        <b val="true"/>
        <sz val="10"/>
        <color rgb="FF1F2937"/>
        <rFont val="DejaVu Sans"/>
        <family val="2"/>
      </rPr>
      <t xml:space="preserve">별도 납부</t>
    </r>
    <r>
      <rPr>
        <b val="true"/>
        <sz val="10"/>
        <color rgb="FF1F2937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</si>
  <si>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국민연금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사업주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</si>
  <si>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건강보험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사업주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</si>
  <si>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장기요양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사업주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</si>
  <si>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고용보험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사업주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</si>
  <si>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산재보험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사업주 전액</t>
    </r>
    <r>
      <rPr>
        <sz val="10"/>
        <rFont val="Arial"/>
        <family val="0"/>
        <charset val="1"/>
      </rPr>
      <t xml:space="preserve">)</t>
    </r>
  </si>
  <si>
    <t xml:space="preserve">사업주 추가 부담 총액</t>
  </si>
  <si>
    <r>
      <rPr>
        <sz val="10"/>
        <rFont val="DejaVu Sans"/>
        <family val="2"/>
      </rPr>
      <t xml:space="preserve">위 금액을 정히 영수합니다</t>
    </r>
    <r>
      <rPr>
        <sz val="10"/>
        <rFont val="Arial"/>
        <family val="0"/>
        <charset val="1"/>
      </rPr>
      <t xml:space="preserve">.</t>
    </r>
  </si>
  <si>
    <t xml:space="preserve">사업주</t>
  </si>
  <si>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DejaVu Sans"/>
        <family val="2"/>
      </rPr>
      <t xml:space="preserve">서명 또는 인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</si>
  <si>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근로자</t>
  </si>
  <si>
    <r>
      <rPr>
        <i val="true"/>
        <sz val="9"/>
        <color rgb="FF6B7280"/>
        <rFont val="DejaVu Sans"/>
        <family val="2"/>
      </rPr>
      <t xml:space="preserve">본 명세서는 근로기준법 제</t>
    </r>
    <r>
      <rPr>
        <i val="true"/>
        <sz val="9"/>
        <color rgb="FF6B7280"/>
        <rFont val="Arial"/>
        <family val="0"/>
        <charset val="1"/>
      </rPr>
      <t xml:space="preserve">48</t>
    </r>
    <r>
      <rPr>
        <i val="true"/>
        <sz val="9"/>
        <color rgb="FF6B7280"/>
        <rFont val="DejaVu Sans"/>
        <family val="2"/>
      </rPr>
      <t xml:space="preserve">조에 따라 교부되었습니다</t>
    </r>
    <r>
      <rPr>
        <i val="true"/>
        <sz val="9"/>
        <color rgb="FF6B7280"/>
        <rFont val="Arial"/>
        <family val="0"/>
        <charset val="1"/>
      </rPr>
      <t xml:space="preserve">.</t>
    </r>
  </si>
  <si>
    <r>
      <rPr>
        <b val="true"/>
        <sz val="10"/>
        <color rgb="FF0000FF"/>
        <rFont val="Arial"/>
        <family val="0"/>
        <charset val="1"/>
      </rPr>
      <t xml:space="preserve">○○○ (</t>
    </r>
    <r>
      <rPr>
        <b val="true"/>
        <sz val="10"/>
        <color rgb="FF0000FF"/>
        <rFont val="DejaVu Sans"/>
        <family val="2"/>
      </rPr>
      <t xml:space="preserve">알바</t>
    </r>
    <r>
      <rPr>
        <b val="true"/>
        <sz val="10"/>
        <color rgb="FF0000FF"/>
        <rFont val="Arial"/>
        <family val="0"/>
        <charset val="1"/>
      </rPr>
      <t xml:space="preserve">1)</t>
    </r>
  </si>
  <si>
    <t xml:space="preserve">홀 알바</t>
  </si>
  <si>
    <t xml:space="preserve">월 실근로시간</t>
  </si>
  <si>
    <r>
      <rPr>
        <i val="true"/>
        <sz val="9"/>
        <color rgb="FF6B7280"/>
        <rFont val="DejaVu Sans"/>
        <family val="2"/>
      </rPr>
      <t xml:space="preserve">월</t>
    </r>
    <r>
      <rPr>
        <i val="true"/>
        <sz val="9"/>
        <color rgb="FF6B7280"/>
        <rFont val="Arial"/>
        <family val="0"/>
        <charset val="1"/>
      </rPr>
      <t xml:space="preserve">~</t>
    </r>
    <r>
      <rPr>
        <i val="true"/>
        <sz val="9"/>
        <color rgb="FF6B7280"/>
        <rFont val="DejaVu Sans"/>
        <family val="2"/>
      </rPr>
      <t xml:space="preserve">목 </t>
    </r>
    <r>
      <rPr>
        <i val="true"/>
        <sz val="9"/>
        <color rgb="FF6B7280"/>
        <rFont val="Arial"/>
        <family val="0"/>
        <charset val="1"/>
      </rPr>
      <t xml:space="preserve">3.5h × 16</t>
    </r>
    <r>
      <rPr>
        <i val="true"/>
        <sz val="9"/>
        <color rgb="FF6B7280"/>
        <rFont val="DejaVu Sans"/>
        <family val="2"/>
      </rPr>
      <t xml:space="preserve">일 </t>
    </r>
    <r>
      <rPr>
        <i val="true"/>
        <sz val="9"/>
        <color rgb="FF6B7280"/>
        <rFont val="Arial"/>
        <family val="0"/>
        <charset val="1"/>
      </rPr>
      <t xml:space="preserve">= 56h (</t>
    </r>
    <r>
      <rPr>
        <i val="true"/>
        <sz val="9"/>
        <color rgb="FF6B7280"/>
        <rFont val="DejaVu Sans"/>
        <family val="2"/>
      </rPr>
      <t xml:space="preserve">주</t>
    </r>
    <r>
      <rPr>
        <i val="true"/>
        <sz val="9"/>
        <color rgb="FF6B7280"/>
        <rFont val="Arial"/>
        <family val="0"/>
        <charset val="1"/>
      </rPr>
      <t xml:space="preserve">14h × 4</t>
    </r>
    <r>
      <rPr>
        <i val="true"/>
        <sz val="9"/>
        <color rgb="FF6B7280"/>
        <rFont val="DejaVu Sans"/>
        <family val="2"/>
      </rPr>
      <t xml:space="preserve">주 기준 </t>
    </r>
    <r>
      <rPr>
        <i val="true"/>
        <sz val="9"/>
        <color rgb="FF6B7280"/>
        <rFont val="Arial"/>
        <family val="0"/>
        <charset val="1"/>
      </rPr>
      <t xml:space="preserve">/ 60h </t>
    </r>
    <r>
      <rPr>
        <i val="true"/>
        <sz val="9"/>
        <color rgb="FF6B7280"/>
        <rFont val="DejaVu Sans"/>
        <family val="2"/>
      </rPr>
      <t xml:space="preserve">미만 유지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</si>
  <si>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적용 시급</t>
  </si>
  <si>
    <r>
      <rPr>
        <i val="true"/>
        <sz val="9"/>
        <color rgb="FF6B7280"/>
        <rFont val="Arial"/>
        <family val="0"/>
        <charset val="1"/>
      </rPr>
      <t xml:space="preserve">[</t>
    </r>
    <r>
      <rPr>
        <i val="true"/>
        <sz val="9"/>
        <color rgb="FF6B7280"/>
        <rFont val="DejaVu Sans"/>
        <family val="2"/>
      </rPr>
      <t xml:space="preserve">설정</t>
    </r>
    <r>
      <rPr>
        <i val="true"/>
        <sz val="9"/>
        <color rgb="FF6B7280"/>
        <rFont val="Arial"/>
        <family val="0"/>
        <charset val="1"/>
      </rPr>
      <t xml:space="preserve">] </t>
    </r>
    <r>
      <rPr>
        <i val="true"/>
        <sz val="9"/>
        <color rgb="FF6B7280"/>
        <rFont val="DejaVu Sans"/>
        <family val="2"/>
      </rPr>
      <t xml:space="preserve">시트의 최저시급 자동 적용</t>
    </r>
  </si>
  <si>
    <r>
      <rPr>
        <sz val="11"/>
        <color theme="1"/>
        <rFont val="DejaVu Sans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시간 미만 → 해당 없음</t>
    </r>
  </si>
  <si>
    <r>
      <rPr>
        <i val="true"/>
        <sz val="9"/>
        <color rgb="FF6B7280"/>
        <rFont val="DejaVu Sans"/>
        <family val="2"/>
      </rPr>
      <t xml:space="preserve">주</t>
    </r>
    <r>
      <rPr>
        <i val="true"/>
        <sz val="9"/>
        <color rgb="FF6B7280"/>
        <rFont val="Arial"/>
        <family val="0"/>
        <charset val="1"/>
      </rPr>
      <t xml:space="preserve">15h </t>
    </r>
    <r>
      <rPr>
        <i val="true"/>
        <sz val="9"/>
        <color rgb="FF6B7280"/>
        <rFont val="DejaVu Sans"/>
        <family val="2"/>
      </rPr>
      <t xml:space="preserve">미만</t>
    </r>
  </si>
  <si>
    <t xml:space="preserve">해당없음</t>
  </si>
  <si>
    <t xml:space="preserve">산재보험</t>
  </si>
  <si>
    <r>
      <rPr>
        <i val="true"/>
        <sz val="9"/>
        <color rgb="FF6B7280"/>
        <rFont val="DejaVu Sans"/>
        <family val="2"/>
      </rPr>
      <t xml:space="preserve">근로자부담 </t>
    </r>
    <r>
      <rPr>
        <i val="true"/>
        <sz val="9"/>
        <color rgb="FF6B7280"/>
        <rFont val="Arial"/>
        <family val="0"/>
        <charset val="1"/>
      </rPr>
      <t xml:space="preserve">0%</t>
    </r>
  </si>
  <si>
    <r>
      <rPr>
        <sz val="10"/>
        <rFont val="DejaVu Sans"/>
        <family val="2"/>
      </rPr>
      <t xml:space="preserve">소득세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일용근로 비과세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</si>
  <si>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6B7280"/>
        <rFont val="DejaVu Sans"/>
        <family val="2"/>
      </rPr>
      <t xml:space="preserve">일급 </t>
    </r>
    <r>
      <rPr>
        <i val="true"/>
        <sz val="9"/>
        <color rgb="FF6B7280"/>
        <rFont val="Arial"/>
        <family val="0"/>
        <charset val="1"/>
      </rPr>
      <t xml:space="preserve">18.7</t>
    </r>
    <r>
      <rPr>
        <i val="true"/>
        <sz val="9"/>
        <color rgb="FF6B7280"/>
        <rFont val="DejaVu Sans"/>
        <family val="2"/>
      </rPr>
      <t xml:space="preserve">만원 이하</t>
    </r>
  </si>
  <si>
    <t xml:space="preserve">지방소득세</t>
  </si>
  <si>
    <t xml:space="preserve">비과세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</si>
  <si>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나머지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대보험</t>
    </r>
    <r>
      <rPr>
        <sz val="10"/>
        <rFont val="Arial"/>
        <family val="0"/>
        <charset val="1"/>
      </rPr>
      <t xml:space="preserve">)</t>
    </r>
  </si>
  <si>
    <t xml:space="preserve">해당 없음</t>
  </si>
  <si>
    <r>
      <rPr>
        <b val="true"/>
        <sz val="10"/>
        <color rgb="FF0000FF"/>
        <rFont val="Arial"/>
        <family val="0"/>
        <charset val="1"/>
      </rPr>
      <t xml:space="preserve">○○○ (</t>
    </r>
    <r>
      <rPr>
        <b val="true"/>
        <sz val="10"/>
        <color rgb="FF0000FF"/>
        <rFont val="DejaVu Sans"/>
        <family val="2"/>
      </rPr>
      <t xml:space="preserve">알바</t>
    </r>
    <r>
      <rPr>
        <b val="true"/>
        <sz val="10"/>
        <color rgb="FF0000FF"/>
        <rFont val="Arial"/>
        <family val="0"/>
        <charset val="1"/>
      </rPr>
      <t xml:space="preserve">2)</t>
    </r>
  </si>
  <si>
    <t xml:space="preserve">주말 알바</t>
  </si>
  <si>
    <r>
      <rPr>
        <i val="true"/>
        <sz val="9"/>
        <color rgb="FF6B7280"/>
        <rFont val="DejaVu Sans"/>
        <family val="2"/>
      </rPr>
      <t xml:space="preserve">금토일 </t>
    </r>
    <r>
      <rPr>
        <i val="true"/>
        <sz val="9"/>
        <color rgb="FF6B7280"/>
        <rFont val="Arial"/>
        <family val="0"/>
        <charset val="1"/>
      </rPr>
      <t xml:space="preserve">3.5h × 12</t>
    </r>
    <r>
      <rPr>
        <i val="true"/>
        <sz val="9"/>
        <color rgb="FF6B7280"/>
        <rFont val="DejaVu Sans"/>
        <family val="2"/>
      </rPr>
      <t xml:space="preserve">일 </t>
    </r>
    <r>
      <rPr>
        <i val="true"/>
        <sz val="9"/>
        <color rgb="FF6B7280"/>
        <rFont val="Arial"/>
        <family val="0"/>
        <charset val="1"/>
      </rPr>
      <t xml:space="preserve">= 42h (</t>
    </r>
    <r>
      <rPr>
        <i val="true"/>
        <sz val="9"/>
        <color rgb="FF6B7280"/>
        <rFont val="DejaVu Sans"/>
        <family val="2"/>
      </rPr>
      <t xml:space="preserve">주</t>
    </r>
    <r>
      <rPr>
        <i val="true"/>
        <sz val="9"/>
        <color rgb="FF6B7280"/>
        <rFont val="Arial"/>
        <family val="0"/>
        <charset val="1"/>
      </rPr>
      <t xml:space="preserve">10.5h × 4</t>
    </r>
    <r>
      <rPr>
        <i val="true"/>
        <sz val="9"/>
        <color rgb="FF6B7280"/>
        <rFont val="DejaVu Sans"/>
        <family val="2"/>
      </rPr>
      <t xml:space="preserve">주 기준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</si>
  <si>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월별 근태 기록부</t>
  </si>
  <si>
    <r>
      <rPr>
        <i val="true"/>
        <sz val="9"/>
        <color rgb="FF6B7280"/>
        <rFont val="DejaVu Sans"/>
        <family val="2"/>
      </rPr>
      <t xml:space="preserve">ⓘ 매일 출퇴근 시간을 기록하면 월말에 자동 합산됩니다</t>
    </r>
    <r>
      <rPr>
        <i val="true"/>
        <sz val="9"/>
        <color rgb="FF6B7280"/>
        <rFont val="Arial"/>
        <family val="0"/>
        <charset val="1"/>
      </rPr>
      <t xml:space="preserve">. (</t>
    </r>
    <r>
      <rPr>
        <i val="true"/>
        <sz val="9"/>
        <color rgb="FF6B7280"/>
        <rFont val="DejaVu Sans"/>
        <family val="2"/>
      </rPr>
      <t xml:space="preserve">요일별 근무 패턴 예시 입력됨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</si>
  <si>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일자</t>
  </si>
  <si>
    <t xml:space="preserve">요일</t>
  </si>
  <si>
    <t xml:space="preserve">직원</t>
  </si>
  <si>
    <t xml:space="preserve">출근</t>
  </si>
  <si>
    <t xml:space="preserve">퇴근</t>
  </si>
  <si>
    <r>
      <rPr>
        <b val="true"/>
        <sz val="12"/>
        <color rgb="FFFFFFFF"/>
        <rFont val="DejaVu Sans"/>
        <family val="2"/>
      </rPr>
      <t xml:space="preserve">휴게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분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</si>
  <si>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실근로</t>
    </r>
    <r>
      <rPr>
        <b val="true"/>
        <sz val="12"/>
        <color rgb="FFFFFFFF"/>
        <rFont val="Arial"/>
        <family val="0"/>
        <charset val="1"/>
      </rPr>
      <t xml:space="preserve">(h)</t>
    </r>
  </si>
  <si>
    <t xml:space="preserve">비고</t>
  </si>
  <si>
    <t xml:space="preserve">2026-04-01</t>
  </si>
  <si>
    <r>
      <rPr>
        <b val="true"/>
        <sz val="10"/>
        <color rgb="FF0000FF"/>
        <rFont val="Arial"/>
        <family val="0"/>
        <charset val="1"/>
      </rPr>
      <t xml:space="preserve">(</t>
    </r>
    <r>
      <rPr>
        <b val="true"/>
        <sz val="10"/>
        <color rgb="FF0000FF"/>
        <rFont val="DejaVu Sans"/>
        <family val="2"/>
      </rPr>
      <t xml:space="preserve">직원명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</si>
  <si>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09:30</t>
  </si>
  <si>
    <t xml:space="preserve">13:00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</si>
  <si>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</si>
  <si>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</si>
  <si>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</si>
  <si>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</si>
  <si>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</si>
  <si>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</si>
  <si>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</si>
  <si>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</si>
  <si>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</si>
  <si>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</si>
  <si>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</si>
  <si>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</si>
  <si>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</si>
  <si>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</si>
  <si>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</si>
  <si>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</si>
  <si>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</si>
  <si>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</si>
  <si>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</si>
  <si>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</si>
  <si>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</si>
  <si>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</si>
  <si>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</si>
  <si>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</si>
  <si>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</si>
  <si>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</si>
  <si>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</si>
  <si>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</si>
  <si>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</si>
  <si>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2026-04-31</t>
  </si>
  <si>
    <t xml:space="preserve">월 합계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</si>
</sst>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%"/>
    <numFmt numFmtId="167" formatCode="#,##0\원"/>
    <numFmt numFmtId="168" formatCode="0.0&quot;시간&quot;"/>
    <numFmt numFmtId="169" formatCode="0.00"/>
    <numFmt numFmtId="170" formatCode="0.00\h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b val="true"/>
      <sz val="18"/>
      <color rgb="FF1F2937"/>
      <name val="DejaVu Sans"/>
      <family val="2"/>
    </font>
    <font>
      <i val="true"/>
      <sz val="9"/>
      <color rgb="FF6B7280"/>
      <name val="DejaVu Sans"/>
      <family val="2"/>
    </font>
    <font>
      <i val="true"/>
      <sz val="9"/>
      <color rgb="FF6B7280"/>
      <name val="Arial"/>
      <family val="0"/>
      <charset val="1"/>
    </font>
    <font>
      <b val="true"/>
      <sz val="11"/>
      <color rgb="FF8B1E2D"/>
      <name val="DejaVu Sans"/>
      <family val="2"/>
    </font>
    <font>
      <b val="true"/>
      <sz val="10"/>
      <name val="DejaVu Sans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DejaVu Sans"/>
      <family val="2"/>
    </font>
    <font>
      <b val="true"/>
      <sz val="11"/>
      <color rgb="FF8B1E2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66534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22"/>
      <color rgb="FF1F2937"/>
      <name val="DejaVu Sans"/>
      <family val="2"/>
    </font>
    <font>
      <i val="true"/>
      <sz val="10"/>
      <color rgb="FF6B72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1F2937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1ECE0"/>
        <bgColor rgb="FFFBF1F2"/>
      </patternFill>
    </fill>
    <fill>
      <patternFill patternType="solid">
        <fgColor rgb="FFFFF8E1"/>
        <bgColor rgb="FFFBF1F2"/>
      </patternFill>
    </fill>
    <fill>
      <patternFill patternType="solid">
        <fgColor rgb="FF1F2937"/>
        <bgColor rgb="FF333300"/>
      </patternFill>
    </fill>
    <fill>
      <patternFill patternType="solid">
        <fgColor rgb="FFFBF1F2"/>
        <bgColor rgb="FFFFF8E1"/>
      </patternFill>
    </fill>
    <fill>
      <patternFill patternType="solid">
        <fgColor rgb="FF8B1E2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CFC2"/>
      </left>
      <right style="thin">
        <color rgb="FFD6CFC2"/>
      </right>
      <top style="thin">
        <color rgb="FFD6CFC2"/>
      </top>
      <bottom style="thin">
        <color rgb="FFD6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D6CFC2"/>
      <rgbColor rgb="FF808080"/>
      <rgbColor rgb="FF9999FF"/>
      <rgbColor rgb="FF993366"/>
      <rgbColor rgb="FFFFF8E1"/>
      <rgbColor rgb="FFFBF1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C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8B1E2D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</cols>
  <sheetData>
    <row r="2" customFormat="false" ht="22.35" hidden="false" customHeight="fals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</row>
    <row r="7" customFormat="false" ht="15" hidden="false" customHeight="false" outlineLevel="0" collapsed="false">
      <c r="B7" s="4" t="s">
        <v>3</v>
      </c>
      <c r="C7" s="5" t="s">
        <v>4</v>
      </c>
      <c r="D7" s="5"/>
      <c r="E7" s="5"/>
      <c r="F7" s="5"/>
    </row>
    <row r="8" customFormat="false" ht="15" hidden="false" customHeight="false" outlineLevel="0" collapsed="false">
      <c r="B8" s="4" t="s">
        <v>5</v>
      </c>
      <c r="C8" s="5" t="s">
        <v>6</v>
      </c>
      <c r="D8" s="5"/>
      <c r="E8" s="5"/>
      <c r="F8" s="5"/>
    </row>
    <row r="9" customFormat="false" ht="15" hidden="false" customHeight="false" outlineLevel="0" collapsed="false">
      <c r="B9" s="4" t="s">
        <v>7</v>
      </c>
      <c r="C9" s="5" t="s">
        <v>6</v>
      </c>
      <c r="D9" s="5"/>
      <c r="E9" s="5"/>
      <c r="F9" s="5"/>
    </row>
    <row r="10" customFormat="false" ht="15" hidden="false" customHeight="false" outlineLevel="0" collapsed="false">
      <c r="B10" s="4" t="s">
        <v>8</v>
      </c>
      <c r="C10" s="5" t="s">
        <v>6</v>
      </c>
      <c r="D10" s="5"/>
      <c r="E10" s="5"/>
      <c r="F10" s="5"/>
    </row>
    <row r="11" customFormat="false" ht="15" hidden="false" customHeight="false" outlineLevel="0" collapsed="false">
      <c r="B11" s="4" t="s">
        <v>9</v>
      </c>
      <c r="C11" s="5" t="s">
        <v>6</v>
      </c>
      <c r="D11" s="5"/>
      <c r="E11" s="5"/>
      <c r="F11" s="5"/>
    </row>
    <row r="14" customFormat="false" ht="15" hidden="false" customHeight="false" outlineLevel="0" collapsed="false">
      <c r="B14" s="3" t="s">
        <v>10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11</v>
      </c>
      <c r="C15" s="6" t="n">
        <v>10030</v>
      </c>
      <c r="D15" s="7" t="s">
        <v>12</v>
      </c>
      <c r="E15" s="7"/>
      <c r="F15" s="7"/>
    </row>
    <row r="16" customFormat="false" ht="15" hidden="false" customHeight="false" outlineLevel="0" collapsed="false">
      <c r="B16" s="4" t="s">
        <v>13</v>
      </c>
      <c r="C16" s="6" t="n">
        <v>2750000</v>
      </c>
      <c r="D16" s="7" t="s">
        <v>14</v>
      </c>
      <c r="E16" s="7"/>
      <c r="F16" s="7"/>
    </row>
    <row r="17" customFormat="false" ht="15" hidden="false" customHeight="false" outlineLevel="0" collapsed="false">
      <c r="B17" s="4" t="s">
        <v>15</v>
      </c>
      <c r="C17" s="8" t="n">
        <v>0.9</v>
      </c>
      <c r="D17" s="9" t="s">
        <v>16</v>
      </c>
      <c r="E17" s="9"/>
      <c r="F17" s="9"/>
    </row>
    <row r="18" customFormat="false" ht="15" hidden="false" customHeight="false" outlineLevel="0" collapsed="false">
      <c r="B18" s="4" t="s">
        <v>17</v>
      </c>
      <c r="C18" s="8" t="n">
        <v>0.045</v>
      </c>
      <c r="D18" s="9" t="s">
        <v>18</v>
      </c>
      <c r="E18" s="9"/>
      <c r="F18" s="9"/>
    </row>
    <row r="19" customFormat="false" ht="15" hidden="false" customHeight="false" outlineLevel="0" collapsed="false">
      <c r="B19" s="4" t="s">
        <v>19</v>
      </c>
      <c r="C19" s="8" t="n">
        <v>0.03545</v>
      </c>
      <c r="D19" s="9" t="s">
        <v>20</v>
      </c>
      <c r="E19" s="9"/>
      <c r="F19" s="9"/>
    </row>
    <row r="20" customFormat="false" ht="15" hidden="false" customHeight="false" outlineLevel="0" collapsed="false">
      <c r="B20" s="4" t="s">
        <v>21</v>
      </c>
      <c r="C20" s="8" t="n">
        <v>0.1295</v>
      </c>
      <c r="D20" s="9" t="s">
        <v>22</v>
      </c>
      <c r="E20" s="9"/>
      <c r="F20" s="9"/>
    </row>
    <row r="21" customFormat="false" ht="15" hidden="false" customHeight="false" outlineLevel="0" collapsed="false">
      <c r="B21" s="4" t="s">
        <v>23</v>
      </c>
      <c r="C21" s="8" t="n">
        <v>0.009</v>
      </c>
      <c r="D21" s="9" t="s">
        <v>24</v>
      </c>
      <c r="E21" s="9"/>
      <c r="F21" s="9"/>
    </row>
    <row r="22" customFormat="false" ht="15" hidden="false" customHeight="false" outlineLevel="0" collapsed="false">
      <c r="B22" s="4" t="s">
        <v>25</v>
      </c>
      <c r="C22" s="8" t="n">
        <v>0.0085</v>
      </c>
      <c r="D22" s="9" t="s">
        <v>26</v>
      </c>
      <c r="E22" s="9"/>
      <c r="F22" s="9"/>
    </row>
    <row r="23" customFormat="false" ht="15" hidden="false" customHeight="false" outlineLevel="0" collapsed="false">
      <c r="B23" s="4" t="s">
        <v>27</v>
      </c>
      <c r="C23" s="8" t="n">
        <v>0.045</v>
      </c>
      <c r="D23" s="9" t="s">
        <v>18</v>
      </c>
      <c r="E23" s="9"/>
      <c r="F23" s="9"/>
    </row>
    <row r="24" customFormat="false" ht="15" hidden="false" customHeight="false" outlineLevel="0" collapsed="false">
      <c r="B24" s="4" t="s">
        <v>28</v>
      </c>
      <c r="C24" s="8" t="n">
        <v>0.03545</v>
      </c>
      <c r="D24" s="9" t="s">
        <v>20</v>
      </c>
      <c r="E24" s="9"/>
      <c r="F24" s="9"/>
    </row>
    <row r="25" customFormat="false" ht="15" hidden="false" customHeight="false" outlineLevel="0" collapsed="false">
      <c r="B25" s="4" t="s">
        <v>29</v>
      </c>
      <c r="C25" s="8" t="n">
        <v>0.0115</v>
      </c>
      <c r="D25" s="9" t="s">
        <v>30</v>
      </c>
      <c r="E25" s="9"/>
      <c r="F25" s="9"/>
    </row>
    <row r="27" customFormat="false" ht="15" hidden="false" customHeight="false" outlineLevel="0" collapsed="false">
      <c r="B27" s="10" t="s">
        <v>31</v>
      </c>
      <c r="C27" s="10"/>
      <c r="D27" s="10"/>
      <c r="E27" s="10"/>
      <c r="F27" s="10"/>
    </row>
    <row r="28" customFormat="false" ht="15" hidden="false" customHeight="false" outlineLevel="0" collapsed="false">
      <c r="B28" s="11" t="s">
        <v>32</v>
      </c>
      <c r="C28" s="11"/>
      <c r="D28" s="11"/>
      <c r="E28" s="11"/>
      <c r="F28" s="11"/>
    </row>
    <row r="29" customFormat="false" ht="15" hidden="false" customHeight="false" outlineLevel="0" collapsed="false">
      <c r="B29" s="11" t="s">
        <v>33</v>
      </c>
      <c r="C29" s="11"/>
      <c r="D29" s="11"/>
      <c r="E29" s="11"/>
      <c r="F29" s="11"/>
    </row>
    <row r="30" customFormat="false" ht="15" hidden="false" customHeight="false" outlineLevel="0" collapsed="false">
      <c r="B30" s="12" t="s">
        <v>34</v>
      </c>
      <c r="C30" s="12"/>
      <c r="D30" s="12"/>
      <c r="E30" s="12"/>
      <c r="F30" s="12"/>
    </row>
    <row r="31" customFormat="false" ht="15" hidden="false" customHeight="false" outlineLevel="0" collapsed="false">
      <c r="B31" s="11" t="s">
        <v>35</v>
      </c>
      <c r="C31" s="11"/>
      <c r="D31" s="11"/>
      <c r="E31" s="11"/>
      <c r="F31" s="11"/>
    </row>
    <row r="32" customFormat="false" ht="15" hidden="false" customHeight="false" outlineLevel="0" collapsed="false">
      <c r="B32" s="11" t="s">
        <v>36</v>
      </c>
      <c r="C32" s="11"/>
      <c r="D32" s="11"/>
      <c r="E32" s="11"/>
      <c r="F32" s="11"/>
    </row>
  </sheetData>
  <mergeCells count="26">
    <mergeCell ref="B2:F2"/>
    <mergeCell ref="B4:F4"/>
    <mergeCell ref="B6:F6"/>
    <mergeCell ref="C7:F7"/>
    <mergeCell ref="C8:F8"/>
    <mergeCell ref="C9:F9"/>
    <mergeCell ref="C10:F10"/>
    <mergeCell ref="C11:F11"/>
    <mergeCell ref="B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B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"/>
  </cols>
  <sheetData>
    <row r="2" customFormat="false" ht="31.5" hidden="false" customHeight="true" outlineLevel="0" collapsed="false">
      <c r="B2" s="13" t="s">
        <v>37</v>
      </c>
      <c r="C2" s="13"/>
      <c r="D2" s="13"/>
      <c r="E2" s="13"/>
      <c r="F2" s="13"/>
    </row>
    <row r="3" customFormat="false" ht="15" hidden="false" customHeight="false" outlineLevel="0" collapsed="false">
      <c r="B3" s="14" t="s">
        <v>38</v>
      </c>
      <c r="C3" s="14"/>
      <c r="D3" s="14"/>
      <c r="E3" s="14"/>
      <c r="F3" s="14"/>
    </row>
    <row r="5" customFormat="false" ht="15" hidden="false" customHeight="false" outlineLevel="0" collapsed="false">
      <c r="B5" s="15" t="s">
        <v>39</v>
      </c>
      <c r="C5" s="15"/>
      <c r="D5" s="15"/>
      <c r="E5" s="15"/>
      <c r="F5" s="15"/>
    </row>
    <row r="6" customFormat="false" ht="15" hidden="false" customHeight="false" outlineLevel="0" collapsed="false">
      <c r="B6" s="4" t="s">
        <v>40</v>
      </c>
      <c r="C6" s="5" t="s">
        <v>41</v>
      </c>
      <c r="D6" s="4" t="s">
        <v>42</v>
      </c>
      <c r="E6" s="5" t="s">
        <v>43</v>
      </c>
      <c r="F6" s="5"/>
    </row>
    <row r="7" customFormat="false" ht="15" hidden="false" customHeight="false" outlineLevel="0" collapsed="false">
      <c r="B7" s="4" t="s">
        <v>44</v>
      </c>
      <c r="C7" s="16" t="s">
        <v>45</v>
      </c>
      <c r="D7" s="4" t="s">
        <v>46</v>
      </c>
      <c r="E7" s="5" t="s">
        <v>43</v>
      </c>
      <c r="F7" s="5"/>
    </row>
    <row r="8" customFormat="false" ht="15" hidden="false" customHeight="false" outlineLevel="0" collapsed="false">
      <c r="B8" s="17"/>
      <c r="C8" s="17"/>
      <c r="D8" s="17"/>
      <c r="E8" s="17"/>
      <c r="F8" s="17"/>
    </row>
    <row r="9" customFormat="false" ht="15" hidden="false" customHeight="false" outlineLevel="0" collapsed="false">
      <c r="B9" s="15" t="s">
        <v>47</v>
      </c>
      <c r="C9" s="15"/>
      <c r="D9" s="15"/>
      <c r="E9" s="15"/>
      <c r="F9" s="15"/>
    </row>
    <row r="10" customFormat="false" ht="15" hidden="false" customHeight="false" outlineLevel="0" collapsed="false">
      <c r="B10" s="4" t="s">
        <v>48</v>
      </c>
      <c r="C10" s="5" t="s">
        <v>49</v>
      </c>
      <c r="D10" s="5"/>
      <c r="E10" s="5"/>
      <c r="F10" s="5"/>
    </row>
    <row r="11" customFormat="false" ht="15" hidden="false" customHeight="false" outlineLevel="0" collapsed="false">
      <c r="B11" s="4" t="s">
        <v>50</v>
      </c>
      <c r="C11" s="5" t="s">
        <v>51</v>
      </c>
      <c r="D11" s="5"/>
      <c r="E11" s="5"/>
      <c r="F11" s="5"/>
    </row>
    <row r="12" customFormat="false" ht="15" hidden="false" customHeight="false" outlineLevel="0" collapsed="false">
      <c r="B12" s="17"/>
      <c r="C12" s="17"/>
      <c r="D12" s="17"/>
      <c r="E12" s="17"/>
      <c r="F12" s="17"/>
    </row>
    <row r="13" customFormat="false" ht="15" hidden="false" customHeight="false" outlineLevel="0" collapsed="false">
      <c r="B13" s="15" t="s">
        <v>52</v>
      </c>
      <c r="C13" s="15"/>
      <c r="D13" s="15"/>
      <c r="E13" s="15"/>
      <c r="F13" s="15"/>
    </row>
    <row r="14" customFormat="false" ht="15" hidden="false" customHeight="false" outlineLevel="0" collapsed="false">
      <c r="B14" s="4" t="s">
        <v>53</v>
      </c>
      <c r="C14" s="18" t="n">
        <f aca="false">FT_SALARY*PROB_RATE</f>
        <v>2475000</v>
      </c>
      <c r="D14" s="7" t="s">
        <v>54</v>
      </c>
      <c r="E14" s="7"/>
      <c r="F14" s="7"/>
    </row>
    <row r="15" customFormat="false" ht="15" hidden="false" customHeight="false" outlineLevel="0" collapsed="false">
      <c r="B15" s="4" t="s">
        <v>55</v>
      </c>
      <c r="C15" s="19" t="n">
        <v>119</v>
      </c>
      <c r="D15" s="7" t="s">
        <v>56</v>
      </c>
      <c r="E15" s="7"/>
      <c r="F15" s="7"/>
    </row>
    <row r="16" customFormat="false" ht="15" hidden="false" customHeight="false" outlineLevel="0" collapsed="false">
      <c r="B16" s="17"/>
      <c r="C16" s="17"/>
      <c r="D16" s="17"/>
      <c r="E16" s="17"/>
      <c r="F16" s="17"/>
    </row>
    <row r="17" customFormat="false" ht="15" hidden="false" customHeight="false" outlineLevel="0" collapsed="false">
      <c r="B17" s="20" t="s">
        <v>57</v>
      </c>
      <c r="C17" s="20"/>
      <c r="D17" s="20"/>
      <c r="E17" s="20"/>
      <c r="F17" s="20"/>
    </row>
    <row r="18" customFormat="false" ht="15" hidden="false" customHeight="false" outlineLevel="0" collapsed="false">
      <c r="B18" s="21" t="s">
        <v>58</v>
      </c>
      <c r="C18" s="21" t="s">
        <v>59</v>
      </c>
      <c r="D18" s="21"/>
      <c r="E18" s="21" t="s">
        <v>60</v>
      </c>
      <c r="F18" s="21"/>
    </row>
    <row r="19" customFormat="false" ht="15" hidden="false" customHeight="false" outlineLevel="0" collapsed="false">
      <c r="B19" s="22" t="s">
        <v>61</v>
      </c>
      <c r="C19" s="23" t="str">
        <f aca="false">"월 고정급 "&amp;TEXT(C14,"#,##0")&amp;"원"</f>
        <v>월 고정급 2,475,000원</v>
      </c>
      <c r="D19" s="23"/>
      <c r="E19" s="24" t="n">
        <f aca="false">C14</f>
        <v>2475000</v>
      </c>
      <c r="F19" s="24"/>
    </row>
    <row r="20" customFormat="false" ht="15" hidden="false" customHeight="false" outlineLevel="0" collapsed="false">
      <c r="B20" s="22" t="s">
        <v>62</v>
      </c>
      <c r="C20" s="25" t="s">
        <v>63</v>
      </c>
      <c r="D20" s="25"/>
      <c r="E20" s="25" t="n">
        <v>0</v>
      </c>
      <c r="F20" s="25"/>
    </row>
    <row r="21" customFormat="false" ht="15" hidden="false" customHeight="false" outlineLevel="0" collapsed="false">
      <c r="B21" s="26" t="s">
        <v>64</v>
      </c>
      <c r="C21" s="25" t="str">
        <f aca="false">"기본급 + 주휴수당"</f>
        <v>기본급 + 주휴수당</v>
      </c>
      <c r="D21" s="25"/>
      <c r="E21" s="27" t="n">
        <f aca="false">SUM(E19:F20)</f>
        <v>2475000</v>
      </c>
      <c r="F21" s="27"/>
    </row>
    <row r="22" customFormat="false" ht="15" hidden="false" customHeight="false" outlineLevel="0" collapsed="false">
      <c r="B22" s="17"/>
      <c r="C22" s="17"/>
      <c r="D22" s="17"/>
      <c r="E22" s="17"/>
      <c r="F22" s="17"/>
    </row>
    <row r="23" customFormat="false" ht="15" hidden="false" customHeight="false" outlineLevel="0" collapsed="false">
      <c r="B23" s="20" t="s">
        <v>65</v>
      </c>
      <c r="C23" s="20"/>
      <c r="D23" s="20"/>
      <c r="E23" s="20"/>
      <c r="F23" s="20"/>
    </row>
    <row r="24" customFormat="false" ht="15" hidden="false" customHeight="false" outlineLevel="0" collapsed="false">
      <c r="B24" s="21" t="s">
        <v>58</v>
      </c>
      <c r="C24" s="21" t="s">
        <v>66</v>
      </c>
      <c r="D24" s="21"/>
      <c r="E24" s="21" t="s">
        <v>60</v>
      </c>
      <c r="F24" s="21"/>
    </row>
    <row r="25" customFormat="false" ht="15" hidden="false" customHeight="false" outlineLevel="0" collapsed="false">
      <c r="B25" s="28" t="s">
        <v>67</v>
      </c>
      <c r="C25" s="29" t="n">
        <f aca="false">NPS_EE</f>
        <v>0.045</v>
      </c>
      <c r="D25" s="29"/>
      <c r="E25" s="18" t="n">
        <f aca="false">ROUND(E21*NPS_EE,0)</f>
        <v>111375</v>
      </c>
      <c r="F25" s="18"/>
    </row>
    <row r="26" customFormat="false" ht="15" hidden="false" customHeight="false" outlineLevel="0" collapsed="false">
      <c r="B26" s="28" t="s">
        <v>68</v>
      </c>
      <c r="C26" s="29" t="n">
        <f aca="false">HI_EE</f>
        <v>0.03545</v>
      </c>
      <c r="D26" s="29"/>
      <c r="E26" s="18" t="n">
        <f aca="false">ROUND(E21*HI_EE,0)</f>
        <v>87739</v>
      </c>
      <c r="F26" s="18"/>
    </row>
    <row r="27" customFormat="false" ht="15" hidden="false" customHeight="false" outlineLevel="0" collapsed="false">
      <c r="B27" s="28" t="s">
        <v>69</v>
      </c>
      <c r="C27" s="29" t="n">
        <f aca="false">HI_EE*LTC</f>
        <v>0.004590775</v>
      </c>
      <c r="D27" s="29"/>
      <c r="E27" s="18" t="n">
        <f aca="false">ROUND(E21*HI_EE*LTC,0)</f>
        <v>11362</v>
      </c>
      <c r="F27" s="18"/>
    </row>
    <row r="28" customFormat="false" ht="15" hidden="false" customHeight="false" outlineLevel="0" collapsed="false">
      <c r="B28" s="28" t="s">
        <v>70</v>
      </c>
      <c r="C28" s="29" t="n">
        <f aca="false">EI_EE</f>
        <v>0.009</v>
      </c>
      <c r="D28" s="29"/>
      <c r="E28" s="18" t="n">
        <f aca="false">ROUND(E21*EI_EE,0)</f>
        <v>22275</v>
      </c>
      <c r="F28" s="18"/>
    </row>
    <row r="29" customFormat="false" ht="15" hidden="false" customHeight="false" outlineLevel="0" collapsed="false">
      <c r="B29" s="28" t="s">
        <v>71</v>
      </c>
      <c r="C29" s="30" t="s">
        <v>72</v>
      </c>
      <c r="D29" s="30"/>
      <c r="E29" s="31" t="n">
        <v>0</v>
      </c>
      <c r="F29" s="31"/>
    </row>
    <row r="30" customFormat="false" ht="15" hidden="false" customHeight="false" outlineLevel="0" collapsed="false">
      <c r="B30" s="28" t="s">
        <v>73</v>
      </c>
      <c r="C30" s="32" t="s">
        <v>74</v>
      </c>
      <c r="D30" s="32"/>
      <c r="E30" s="18" t="n">
        <f aca="false">ROUND(E29*0.1,0)</f>
        <v>0</v>
      </c>
      <c r="F30" s="18"/>
    </row>
    <row r="31" customFormat="false" ht="15" hidden="false" customHeight="false" outlineLevel="0" collapsed="false">
      <c r="B31" s="26" t="s">
        <v>75</v>
      </c>
      <c r="C31" s="25"/>
      <c r="D31" s="25"/>
      <c r="E31" s="33" t="n">
        <f aca="false">SUM(E25:F30)</f>
        <v>232751</v>
      </c>
      <c r="F31" s="33"/>
    </row>
    <row r="32" customFormat="false" ht="15" hidden="false" customHeight="false" outlineLevel="0" collapsed="false">
      <c r="B32" s="17"/>
      <c r="C32" s="17"/>
      <c r="D32" s="17"/>
      <c r="E32" s="17"/>
      <c r="F32" s="17"/>
    </row>
    <row r="33" customFormat="false" ht="27.75" hidden="false" customHeight="true" outlineLevel="0" collapsed="false">
      <c r="B33" s="34" t="s">
        <v>76</v>
      </c>
      <c r="C33" s="34"/>
      <c r="D33" s="34"/>
      <c r="E33" s="35" t="n">
        <f aca="false">E21-E31</f>
        <v>2242249</v>
      </c>
      <c r="F33" s="35"/>
    </row>
    <row r="34" customFormat="false" ht="15" hidden="false" customHeight="false" outlineLevel="0" collapsed="false">
      <c r="B34" s="17"/>
      <c r="C34" s="17"/>
      <c r="D34" s="17"/>
      <c r="E34" s="17"/>
      <c r="F34" s="17"/>
    </row>
    <row r="35" customFormat="false" ht="15" hidden="false" customHeight="false" outlineLevel="0" collapsed="false">
      <c r="B35" s="36" t="s">
        <v>77</v>
      </c>
      <c r="C35" s="36"/>
      <c r="D35" s="36"/>
      <c r="E35" s="36"/>
      <c r="F35" s="36"/>
    </row>
    <row r="36" customFormat="false" ht="15" hidden="false" customHeight="false" outlineLevel="0" collapsed="false">
      <c r="B36" s="37" t="s">
        <v>78</v>
      </c>
      <c r="C36" s="37"/>
      <c r="D36" s="37"/>
      <c r="E36" s="18" t="n">
        <f aca="false">ROUND(E21*NPS_ER,0)</f>
        <v>111375</v>
      </c>
      <c r="F36" s="18"/>
    </row>
    <row r="37" customFormat="false" ht="15" hidden="false" customHeight="false" outlineLevel="0" collapsed="false">
      <c r="B37" s="37" t="s">
        <v>79</v>
      </c>
      <c r="C37" s="37"/>
      <c r="D37" s="37"/>
      <c r="E37" s="18" t="n">
        <f aca="false">ROUND(E21*HI_ER,0)</f>
        <v>87739</v>
      </c>
      <c r="F37" s="18"/>
    </row>
    <row r="38" customFormat="false" ht="15" hidden="false" customHeight="false" outlineLevel="0" collapsed="false">
      <c r="B38" s="37" t="s">
        <v>80</v>
      </c>
      <c r="C38" s="37"/>
      <c r="D38" s="37"/>
      <c r="E38" s="18" t="n">
        <f aca="false">ROUND(E21*HI_ER*LTC,0)</f>
        <v>11362</v>
      </c>
      <c r="F38" s="18"/>
    </row>
    <row r="39" customFormat="false" ht="15" hidden="false" customHeight="false" outlineLevel="0" collapsed="false">
      <c r="B39" s="37" t="s">
        <v>81</v>
      </c>
      <c r="C39" s="37"/>
      <c r="D39" s="37"/>
      <c r="E39" s="18" t="n">
        <f aca="false">ROUND(E21*EI_ER,0)</f>
        <v>28463</v>
      </c>
      <c r="F39" s="18"/>
    </row>
    <row r="40" customFormat="false" ht="15" hidden="false" customHeight="false" outlineLevel="0" collapsed="false">
      <c r="B40" s="37" t="s">
        <v>82</v>
      </c>
      <c r="C40" s="37"/>
      <c r="D40" s="37"/>
      <c r="E40" s="18" t="n">
        <f aca="false">ROUND(E21*WC,0)</f>
        <v>21038</v>
      </c>
      <c r="F40" s="18"/>
    </row>
    <row r="41" customFormat="false" ht="15" hidden="false" customHeight="false" outlineLevel="0" collapsed="false">
      <c r="B41" s="4" t="s">
        <v>83</v>
      </c>
      <c r="C41" s="4"/>
      <c r="D41" s="4"/>
      <c r="E41" s="38" t="n">
        <f aca="false">SUM(E36:F40)</f>
        <v>259977</v>
      </c>
      <c r="F41" s="38"/>
    </row>
    <row r="44" customFormat="false" ht="15" hidden="false" customHeight="false" outlineLevel="0" collapsed="false">
      <c r="B44" s="12" t="s">
        <v>84</v>
      </c>
      <c r="C44" s="12"/>
      <c r="D44" s="12"/>
      <c r="E44" s="12"/>
      <c r="F44" s="12"/>
    </row>
    <row r="46" customFormat="false" ht="15" hidden="false" customHeight="false" outlineLevel="0" collapsed="false">
      <c r="B46" s="39" t="s">
        <v>85</v>
      </c>
      <c r="C46" s="40" t="s">
        <v>86</v>
      </c>
      <c r="D46" s="40"/>
      <c r="E46" s="39" t="s">
        <v>87</v>
      </c>
      <c r="F46" s="41" t="s">
        <v>86</v>
      </c>
    </row>
    <row r="48" customFormat="false" ht="15" hidden="false" customHeight="false" outlineLevel="0" collapsed="false">
      <c r="B48" s="2" t="s">
        <v>88</v>
      </c>
      <c r="C48" s="2"/>
      <c r="D48" s="2"/>
      <c r="E48" s="2"/>
      <c r="F48" s="2"/>
    </row>
  </sheetData>
  <mergeCells count="55">
    <mergeCell ref="B2:F2"/>
    <mergeCell ref="B3:F3"/>
    <mergeCell ref="B5:F5"/>
    <mergeCell ref="E6:F6"/>
    <mergeCell ref="E7:F7"/>
    <mergeCell ref="B9:F9"/>
    <mergeCell ref="C10:F10"/>
    <mergeCell ref="C11:F11"/>
    <mergeCell ref="B13:F13"/>
    <mergeCell ref="D14:F14"/>
    <mergeCell ref="D15:F15"/>
    <mergeCell ref="B17:F17"/>
    <mergeCell ref="C18:D18"/>
    <mergeCell ref="E18:F18"/>
    <mergeCell ref="C19:D19"/>
    <mergeCell ref="E19:F19"/>
    <mergeCell ref="C20:D20"/>
    <mergeCell ref="E20:F20"/>
    <mergeCell ref="C21:D21"/>
    <mergeCell ref="E21:F21"/>
    <mergeCell ref="B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B33:D33"/>
    <mergeCell ref="E33:F33"/>
    <mergeCell ref="B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4:F44"/>
    <mergeCell ref="C46:D46"/>
    <mergeCell ref="B48:F48"/>
  </mergeCells>
  <printOptions headings="false" gridLines="false" gridLinesSet="true" horizontalCentered="true" verticalCentered="false"/>
  <pageMargins left="0.75" right="0.7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"/>
  </cols>
  <sheetData>
    <row r="2" customFormat="false" ht="31.5" hidden="false" customHeight="true" outlineLevel="0" collapsed="false">
      <c r="B2" s="13" t="s">
        <v>37</v>
      </c>
      <c r="C2" s="13"/>
      <c r="D2" s="13"/>
      <c r="E2" s="13"/>
      <c r="F2" s="13"/>
    </row>
    <row r="3" customFormat="false" ht="15" hidden="false" customHeight="false" outlineLevel="0" collapsed="false">
      <c r="B3" s="14" t="s">
        <v>38</v>
      </c>
      <c r="C3" s="14"/>
      <c r="D3" s="14"/>
      <c r="E3" s="14"/>
      <c r="F3" s="14"/>
    </row>
    <row r="5" customFormat="false" ht="15" hidden="false" customHeight="false" outlineLevel="0" collapsed="false">
      <c r="B5" s="15" t="s">
        <v>39</v>
      </c>
      <c r="C5" s="15"/>
      <c r="D5" s="15"/>
      <c r="E5" s="15"/>
      <c r="F5" s="15"/>
    </row>
    <row r="6" customFormat="false" ht="15" hidden="false" customHeight="false" outlineLevel="0" collapsed="false">
      <c r="B6" s="4" t="s">
        <v>40</v>
      </c>
      <c r="C6" s="5" t="s">
        <v>89</v>
      </c>
      <c r="D6" s="4" t="s">
        <v>42</v>
      </c>
      <c r="E6" s="5" t="s">
        <v>43</v>
      </c>
      <c r="F6" s="5"/>
    </row>
    <row r="7" customFormat="false" ht="15" hidden="false" customHeight="false" outlineLevel="0" collapsed="false">
      <c r="B7" s="4" t="s">
        <v>44</v>
      </c>
      <c r="C7" s="16" t="s">
        <v>90</v>
      </c>
      <c r="D7" s="4" t="s">
        <v>46</v>
      </c>
      <c r="E7" s="5" t="s">
        <v>43</v>
      </c>
      <c r="F7" s="5"/>
    </row>
    <row r="8" customFormat="false" ht="15" hidden="false" customHeight="false" outlineLevel="0" collapsed="false">
      <c r="B8" s="17"/>
      <c r="C8" s="17"/>
      <c r="D8" s="17"/>
      <c r="E8" s="17"/>
      <c r="F8" s="17"/>
    </row>
    <row r="9" customFormat="false" ht="15" hidden="false" customHeight="false" outlineLevel="0" collapsed="false">
      <c r="B9" s="15" t="s">
        <v>47</v>
      </c>
      <c r="C9" s="15"/>
      <c r="D9" s="15"/>
      <c r="E9" s="15"/>
      <c r="F9" s="15"/>
    </row>
    <row r="10" customFormat="false" ht="15" hidden="false" customHeight="false" outlineLevel="0" collapsed="false">
      <c r="B10" s="4" t="s">
        <v>48</v>
      </c>
      <c r="C10" s="5" t="s">
        <v>49</v>
      </c>
      <c r="D10" s="5"/>
      <c r="E10" s="5"/>
      <c r="F10" s="5"/>
    </row>
    <row r="11" customFormat="false" ht="15" hidden="false" customHeight="false" outlineLevel="0" collapsed="false">
      <c r="B11" s="4" t="s">
        <v>50</v>
      </c>
      <c r="C11" s="5" t="s">
        <v>51</v>
      </c>
      <c r="D11" s="5"/>
      <c r="E11" s="5"/>
      <c r="F11" s="5"/>
    </row>
    <row r="12" customFormat="false" ht="15" hidden="false" customHeight="false" outlineLevel="0" collapsed="false">
      <c r="B12" s="17"/>
      <c r="C12" s="17"/>
      <c r="D12" s="17"/>
      <c r="E12" s="17"/>
      <c r="F12" s="17"/>
    </row>
    <row r="13" customFormat="false" ht="15" hidden="false" customHeight="false" outlineLevel="0" collapsed="false">
      <c r="B13" s="15" t="s">
        <v>52</v>
      </c>
      <c r="C13" s="15"/>
      <c r="D13" s="15"/>
      <c r="E13" s="15"/>
      <c r="F13" s="15"/>
    </row>
    <row r="14" customFormat="false" ht="15" hidden="false" customHeight="false" outlineLevel="0" collapsed="false">
      <c r="B14" s="4" t="s">
        <v>91</v>
      </c>
      <c r="C14" s="19" t="n">
        <v>56</v>
      </c>
      <c r="D14" s="7" t="s">
        <v>92</v>
      </c>
      <c r="E14" s="7"/>
      <c r="F14" s="7"/>
    </row>
    <row r="15" customFormat="false" ht="15" hidden="false" customHeight="false" outlineLevel="0" collapsed="false">
      <c r="B15" s="4" t="s">
        <v>93</v>
      </c>
      <c r="C15" s="18" t="n">
        <f aca="false">WAGE</f>
        <v>10030</v>
      </c>
      <c r="D15" s="9" t="s">
        <v>94</v>
      </c>
      <c r="E15" s="9"/>
      <c r="F15" s="9"/>
    </row>
    <row r="16" customFormat="false" ht="15" hidden="false" customHeight="false" outlineLevel="0" collapsed="false">
      <c r="B16" s="17"/>
      <c r="C16" s="17"/>
      <c r="D16" s="17"/>
      <c r="E16" s="17"/>
      <c r="F16" s="17"/>
    </row>
    <row r="17" customFormat="false" ht="15" hidden="false" customHeight="false" outlineLevel="0" collapsed="false">
      <c r="B17" s="20" t="s">
        <v>57</v>
      </c>
      <c r="C17" s="20"/>
      <c r="D17" s="20"/>
      <c r="E17" s="20"/>
      <c r="F17" s="20"/>
    </row>
    <row r="18" customFormat="false" ht="15" hidden="false" customHeight="false" outlineLevel="0" collapsed="false">
      <c r="B18" s="21" t="s">
        <v>58</v>
      </c>
      <c r="C18" s="21" t="s">
        <v>59</v>
      </c>
      <c r="D18" s="21"/>
      <c r="E18" s="21" t="s">
        <v>60</v>
      </c>
      <c r="F18" s="21"/>
    </row>
    <row r="19" customFormat="false" ht="15" hidden="false" customHeight="false" outlineLevel="0" collapsed="false">
      <c r="B19" s="22" t="s">
        <v>61</v>
      </c>
      <c r="C19" s="25" t="str">
        <f aca="false">"시급 "&amp;TEXT(C15,"#,##0")&amp;" × "&amp;TEXT(C14,"0.0")&amp;"시간"</f>
        <v>시급 10,030 × 56.0시간</v>
      </c>
      <c r="D19" s="25"/>
      <c r="E19" s="25" t="n">
        <f aca="false">C14*C15</f>
        <v>561680</v>
      </c>
      <c r="F19" s="25"/>
    </row>
    <row r="20" customFormat="false" ht="15" hidden="false" customHeight="false" outlineLevel="0" collapsed="false">
      <c r="B20" s="22" t="s">
        <v>62</v>
      </c>
      <c r="C20" s="23" t="s">
        <v>95</v>
      </c>
      <c r="D20" s="23"/>
      <c r="E20" s="25" t="n">
        <v>0</v>
      </c>
      <c r="F20" s="25"/>
    </row>
    <row r="21" customFormat="false" ht="15" hidden="false" customHeight="false" outlineLevel="0" collapsed="false">
      <c r="B21" s="26" t="s">
        <v>64</v>
      </c>
      <c r="C21" s="25" t="str">
        <f aca="false">"기본급 + 주휴수당"</f>
        <v>기본급 + 주휴수당</v>
      </c>
      <c r="D21" s="25"/>
      <c r="E21" s="27" t="n">
        <f aca="false">SUM(E19:F20)</f>
        <v>561680</v>
      </c>
      <c r="F21" s="27"/>
    </row>
    <row r="22" customFormat="false" ht="15" hidden="false" customHeight="false" outlineLevel="0" collapsed="false">
      <c r="B22" s="17"/>
      <c r="C22" s="17"/>
      <c r="D22" s="17"/>
      <c r="E22" s="17"/>
      <c r="F22" s="17"/>
    </row>
    <row r="23" customFormat="false" ht="15" hidden="false" customHeight="false" outlineLevel="0" collapsed="false">
      <c r="B23" s="20" t="s">
        <v>65</v>
      </c>
      <c r="C23" s="20"/>
      <c r="D23" s="20"/>
      <c r="E23" s="20"/>
      <c r="F23" s="20"/>
    </row>
    <row r="24" customFormat="false" ht="15" hidden="false" customHeight="false" outlineLevel="0" collapsed="false">
      <c r="B24" s="21" t="s">
        <v>58</v>
      </c>
      <c r="C24" s="21" t="s">
        <v>66</v>
      </c>
      <c r="D24" s="21"/>
      <c r="E24" s="21" t="s">
        <v>60</v>
      </c>
      <c r="F24" s="21"/>
    </row>
    <row r="25" customFormat="false" ht="15" hidden="false" customHeight="false" outlineLevel="0" collapsed="false">
      <c r="B25" s="28" t="s">
        <v>67</v>
      </c>
      <c r="C25" s="30" t="s">
        <v>96</v>
      </c>
      <c r="D25" s="30"/>
      <c r="E25" s="42" t="s">
        <v>97</v>
      </c>
      <c r="F25" s="42"/>
    </row>
    <row r="26" customFormat="false" ht="15" hidden="false" customHeight="false" outlineLevel="0" collapsed="false">
      <c r="B26" s="28" t="s">
        <v>68</v>
      </c>
      <c r="C26" s="30" t="s">
        <v>96</v>
      </c>
      <c r="D26" s="30"/>
      <c r="E26" s="42" t="s">
        <v>97</v>
      </c>
      <c r="F26" s="42"/>
    </row>
    <row r="27" customFormat="false" ht="15" hidden="false" customHeight="false" outlineLevel="0" collapsed="false">
      <c r="B27" s="28" t="s">
        <v>70</v>
      </c>
      <c r="C27" s="30" t="s">
        <v>96</v>
      </c>
      <c r="D27" s="30"/>
      <c r="E27" s="42" t="s">
        <v>97</v>
      </c>
      <c r="F27" s="42"/>
    </row>
    <row r="28" customFormat="false" ht="15" hidden="false" customHeight="false" outlineLevel="0" collapsed="false">
      <c r="B28" s="28" t="s">
        <v>98</v>
      </c>
      <c r="C28" s="30" t="s">
        <v>99</v>
      </c>
      <c r="D28" s="30"/>
      <c r="E28" s="18" t="n">
        <v>0</v>
      </c>
      <c r="F28" s="18"/>
    </row>
    <row r="29" customFormat="false" ht="15" hidden="false" customHeight="false" outlineLevel="0" collapsed="false">
      <c r="B29" s="28" t="s">
        <v>100</v>
      </c>
      <c r="C29" s="30" t="s">
        <v>101</v>
      </c>
      <c r="D29" s="30"/>
      <c r="E29" s="18" t="n">
        <v>0</v>
      </c>
      <c r="F29" s="18"/>
    </row>
    <row r="30" customFormat="false" ht="15" hidden="false" customHeight="false" outlineLevel="0" collapsed="false">
      <c r="B30" s="28" t="s">
        <v>102</v>
      </c>
      <c r="C30" s="30" t="s">
        <v>103</v>
      </c>
      <c r="D30" s="30"/>
      <c r="E30" s="18" t="n">
        <v>0</v>
      </c>
      <c r="F30" s="18"/>
    </row>
    <row r="31" customFormat="false" ht="15" hidden="false" customHeight="false" outlineLevel="0" collapsed="false">
      <c r="B31" s="26" t="s">
        <v>75</v>
      </c>
      <c r="C31" s="25"/>
      <c r="D31" s="25"/>
      <c r="E31" s="33" t="n">
        <f aca="false">SUM(E25:F30)</f>
        <v>0</v>
      </c>
      <c r="F31" s="33"/>
    </row>
    <row r="32" customFormat="false" ht="15" hidden="false" customHeight="false" outlineLevel="0" collapsed="false">
      <c r="B32" s="17"/>
      <c r="C32" s="17"/>
      <c r="D32" s="17"/>
      <c r="E32" s="17"/>
      <c r="F32" s="17"/>
    </row>
    <row r="33" customFormat="false" ht="27.75" hidden="false" customHeight="true" outlineLevel="0" collapsed="false">
      <c r="B33" s="34" t="s">
        <v>76</v>
      </c>
      <c r="C33" s="34"/>
      <c r="D33" s="34"/>
      <c r="E33" s="35" t="n">
        <f aca="false">E21-E31</f>
        <v>561680</v>
      </c>
      <c r="F33" s="35"/>
    </row>
    <row r="34" customFormat="false" ht="15" hidden="false" customHeight="false" outlineLevel="0" collapsed="false">
      <c r="B34" s="17"/>
      <c r="C34" s="17"/>
      <c r="D34" s="17"/>
      <c r="E34" s="17"/>
      <c r="F34" s="17"/>
    </row>
    <row r="35" customFormat="false" ht="15" hidden="false" customHeight="false" outlineLevel="0" collapsed="false">
      <c r="B35" s="36" t="s">
        <v>77</v>
      </c>
      <c r="C35" s="36"/>
      <c r="D35" s="36"/>
      <c r="E35" s="36"/>
      <c r="F35" s="36"/>
    </row>
    <row r="36" customFormat="false" ht="15" hidden="false" customHeight="false" outlineLevel="0" collapsed="false">
      <c r="B36" s="37" t="s">
        <v>82</v>
      </c>
      <c r="C36" s="37"/>
      <c r="D36" s="37"/>
      <c r="E36" s="18" t="n">
        <f aca="false">ROUND(E21*WC,0)</f>
        <v>4774</v>
      </c>
      <c r="F36" s="18"/>
    </row>
    <row r="37" customFormat="false" ht="15" hidden="false" customHeight="false" outlineLevel="0" collapsed="false">
      <c r="B37" s="43" t="s">
        <v>104</v>
      </c>
      <c r="C37" s="43"/>
      <c r="D37" s="43"/>
      <c r="E37" s="42" t="s">
        <v>105</v>
      </c>
      <c r="F37" s="42"/>
    </row>
    <row r="38" customFormat="false" ht="15" hidden="false" customHeight="false" outlineLevel="0" collapsed="false">
      <c r="B38" s="4" t="s">
        <v>83</v>
      </c>
      <c r="C38" s="4"/>
      <c r="D38" s="4"/>
      <c r="E38" s="38" t="n">
        <f aca="false">ROUND(E21*WC,0)</f>
        <v>4774</v>
      </c>
      <c r="F38" s="38"/>
    </row>
    <row r="41" customFormat="false" ht="15" hidden="false" customHeight="false" outlineLevel="0" collapsed="false">
      <c r="B41" s="12" t="s">
        <v>84</v>
      </c>
      <c r="C41" s="12"/>
      <c r="D41" s="12"/>
      <c r="E41" s="12"/>
      <c r="F41" s="12"/>
    </row>
    <row r="43" customFormat="false" ht="15" hidden="false" customHeight="false" outlineLevel="0" collapsed="false">
      <c r="B43" s="39" t="s">
        <v>85</v>
      </c>
      <c r="C43" s="40" t="s">
        <v>86</v>
      </c>
      <c r="D43" s="40"/>
      <c r="E43" s="39" t="s">
        <v>87</v>
      </c>
      <c r="F43" s="41" t="s">
        <v>86</v>
      </c>
    </row>
    <row r="45" customFormat="false" ht="15" hidden="false" customHeight="false" outlineLevel="0" collapsed="false">
      <c r="B45" s="2" t="s">
        <v>88</v>
      </c>
      <c r="C45" s="2"/>
      <c r="D45" s="2"/>
      <c r="E45" s="2"/>
      <c r="F45" s="2"/>
    </row>
  </sheetData>
  <mergeCells count="49">
    <mergeCell ref="B2:F2"/>
    <mergeCell ref="B3:F3"/>
    <mergeCell ref="B5:F5"/>
    <mergeCell ref="E6:F6"/>
    <mergeCell ref="E7:F7"/>
    <mergeCell ref="B9:F9"/>
    <mergeCell ref="C10:F10"/>
    <mergeCell ref="C11:F11"/>
    <mergeCell ref="B13:F13"/>
    <mergeCell ref="D14:F14"/>
    <mergeCell ref="D15:F15"/>
    <mergeCell ref="B17:F17"/>
    <mergeCell ref="C18:D18"/>
    <mergeCell ref="E18:F18"/>
    <mergeCell ref="C19:D19"/>
    <mergeCell ref="E19:F19"/>
    <mergeCell ref="C20:D20"/>
    <mergeCell ref="E20:F20"/>
    <mergeCell ref="C21:D21"/>
    <mergeCell ref="E21:F21"/>
    <mergeCell ref="B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B33:D33"/>
    <mergeCell ref="E33:F33"/>
    <mergeCell ref="B35:F35"/>
    <mergeCell ref="B36:D36"/>
    <mergeCell ref="E36:F36"/>
    <mergeCell ref="B37:D37"/>
    <mergeCell ref="E37:F37"/>
    <mergeCell ref="B38:D38"/>
    <mergeCell ref="E38:F38"/>
    <mergeCell ref="B41:F41"/>
    <mergeCell ref="C43:D43"/>
    <mergeCell ref="B45:F45"/>
  </mergeCells>
  <printOptions headings="false" gridLines="false" gridLinesSet="true" horizontalCentered="true" verticalCentered="false"/>
  <pageMargins left="0.75" right="0.7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"/>
  </cols>
  <sheetData>
    <row r="2" customFormat="false" ht="31.5" hidden="false" customHeight="true" outlineLevel="0" collapsed="false">
      <c r="B2" s="13" t="s">
        <v>37</v>
      </c>
      <c r="C2" s="13"/>
      <c r="D2" s="13"/>
      <c r="E2" s="13"/>
      <c r="F2" s="13"/>
    </row>
    <row r="3" customFormat="false" ht="15" hidden="false" customHeight="false" outlineLevel="0" collapsed="false">
      <c r="B3" s="14" t="s">
        <v>38</v>
      </c>
      <c r="C3" s="14"/>
      <c r="D3" s="14"/>
      <c r="E3" s="14"/>
      <c r="F3" s="14"/>
    </row>
    <row r="5" customFormat="false" ht="15" hidden="false" customHeight="false" outlineLevel="0" collapsed="false">
      <c r="B5" s="15" t="s">
        <v>39</v>
      </c>
      <c r="C5" s="15"/>
      <c r="D5" s="15"/>
      <c r="E5" s="15"/>
      <c r="F5" s="15"/>
    </row>
    <row r="6" customFormat="false" ht="15" hidden="false" customHeight="false" outlineLevel="0" collapsed="false">
      <c r="B6" s="4" t="s">
        <v>40</v>
      </c>
      <c r="C6" s="5" t="s">
        <v>106</v>
      </c>
      <c r="D6" s="4" t="s">
        <v>42</v>
      </c>
      <c r="E6" s="5" t="s">
        <v>43</v>
      </c>
      <c r="F6" s="5"/>
    </row>
    <row r="7" customFormat="false" ht="15" hidden="false" customHeight="false" outlineLevel="0" collapsed="false">
      <c r="B7" s="4" t="s">
        <v>44</v>
      </c>
      <c r="C7" s="16" t="s">
        <v>107</v>
      </c>
      <c r="D7" s="4" t="s">
        <v>46</v>
      </c>
      <c r="E7" s="5" t="s">
        <v>43</v>
      </c>
      <c r="F7" s="5"/>
    </row>
    <row r="8" customFormat="false" ht="15" hidden="false" customHeight="false" outlineLevel="0" collapsed="false">
      <c r="B8" s="17"/>
      <c r="C8" s="17"/>
      <c r="D8" s="17"/>
      <c r="E8" s="17"/>
      <c r="F8" s="17"/>
    </row>
    <row r="9" customFormat="false" ht="15" hidden="false" customHeight="false" outlineLevel="0" collapsed="false">
      <c r="B9" s="15" t="s">
        <v>47</v>
      </c>
      <c r="C9" s="15"/>
      <c r="D9" s="15"/>
      <c r="E9" s="15"/>
      <c r="F9" s="15"/>
    </row>
    <row r="10" customFormat="false" ht="15" hidden="false" customHeight="false" outlineLevel="0" collapsed="false">
      <c r="B10" s="4" t="s">
        <v>48</v>
      </c>
      <c r="C10" s="5" t="s">
        <v>49</v>
      </c>
      <c r="D10" s="5"/>
      <c r="E10" s="5"/>
      <c r="F10" s="5"/>
    </row>
    <row r="11" customFormat="false" ht="15" hidden="false" customHeight="false" outlineLevel="0" collapsed="false">
      <c r="B11" s="4" t="s">
        <v>50</v>
      </c>
      <c r="C11" s="5" t="s">
        <v>51</v>
      </c>
      <c r="D11" s="5"/>
      <c r="E11" s="5"/>
      <c r="F11" s="5"/>
    </row>
    <row r="12" customFormat="false" ht="15" hidden="false" customHeight="false" outlineLevel="0" collapsed="false">
      <c r="B12" s="17"/>
      <c r="C12" s="17"/>
      <c r="D12" s="17"/>
      <c r="E12" s="17"/>
      <c r="F12" s="17"/>
    </row>
    <row r="13" customFormat="false" ht="15" hidden="false" customHeight="false" outlineLevel="0" collapsed="false">
      <c r="B13" s="15" t="s">
        <v>52</v>
      </c>
      <c r="C13" s="15"/>
      <c r="D13" s="15"/>
      <c r="E13" s="15"/>
      <c r="F13" s="15"/>
    </row>
    <row r="14" customFormat="false" ht="15" hidden="false" customHeight="false" outlineLevel="0" collapsed="false">
      <c r="B14" s="4" t="s">
        <v>91</v>
      </c>
      <c r="C14" s="19" t="n">
        <v>42</v>
      </c>
      <c r="D14" s="7" t="s">
        <v>108</v>
      </c>
      <c r="E14" s="7"/>
      <c r="F14" s="7"/>
    </row>
    <row r="15" customFormat="false" ht="15" hidden="false" customHeight="false" outlineLevel="0" collapsed="false">
      <c r="B15" s="4" t="s">
        <v>93</v>
      </c>
      <c r="C15" s="18" t="n">
        <f aca="false">WAGE</f>
        <v>10030</v>
      </c>
      <c r="D15" s="9" t="s">
        <v>94</v>
      </c>
      <c r="E15" s="9"/>
      <c r="F15" s="9"/>
    </row>
    <row r="16" customFormat="false" ht="15" hidden="false" customHeight="false" outlineLevel="0" collapsed="false">
      <c r="B16" s="17"/>
      <c r="C16" s="17"/>
      <c r="D16" s="17"/>
      <c r="E16" s="17"/>
      <c r="F16" s="17"/>
    </row>
    <row r="17" customFormat="false" ht="15" hidden="false" customHeight="false" outlineLevel="0" collapsed="false">
      <c r="B17" s="20" t="s">
        <v>57</v>
      </c>
      <c r="C17" s="20"/>
      <c r="D17" s="20"/>
      <c r="E17" s="20"/>
      <c r="F17" s="20"/>
    </row>
    <row r="18" customFormat="false" ht="15" hidden="false" customHeight="false" outlineLevel="0" collapsed="false">
      <c r="B18" s="21" t="s">
        <v>58</v>
      </c>
      <c r="C18" s="21" t="s">
        <v>59</v>
      </c>
      <c r="D18" s="21"/>
      <c r="E18" s="21" t="s">
        <v>60</v>
      </c>
      <c r="F18" s="21"/>
    </row>
    <row r="19" customFormat="false" ht="15" hidden="false" customHeight="false" outlineLevel="0" collapsed="false">
      <c r="B19" s="22" t="s">
        <v>61</v>
      </c>
      <c r="C19" s="25" t="str">
        <f aca="false">"시급 "&amp;TEXT(C15,"#,##0")&amp;" × "&amp;TEXT(C14,"0.0")&amp;"시간"</f>
        <v>시급 10,030 × 42.0시간</v>
      </c>
      <c r="D19" s="25"/>
      <c r="E19" s="25" t="n">
        <f aca="false">C14*C15</f>
        <v>421260</v>
      </c>
      <c r="F19" s="25"/>
    </row>
    <row r="20" customFormat="false" ht="15" hidden="false" customHeight="false" outlineLevel="0" collapsed="false">
      <c r="B20" s="22" t="s">
        <v>62</v>
      </c>
      <c r="C20" s="23" t="s">
        <v>95</v>
      </c>
      <c r="D20" s="23"/>
      <c r="E20" s="25" t="n">
        <v>0</v>
      </c>
      <c r="F20" s="25"/>
    </row>
    <row r="21" customFormat="false" ht="15" hidden="false" customHeight="false" outlineLevel="0" collapsed="false">
      <c r="B21" s="26" t="s">
        <v>64</v>
      </c>
      <c r="C21" s="25" t="str">
        <f aca="false">"기본급 + 주휴수당"</f>
        <v>기본급 + 주휴수당</v>
      </c>
      <c r="D21" s="25"/>
      <c r="E21" s="27" t="n">
        <f aca="false">SUM(E19:F20)</f>
        <v>421260</v>
      </c>
      <c r="F21" s="27"/>
    </row>
    <row r="22" customFormat="false" ht="15" hidden="false" customHeight="false" outlineLevel="0" collapsed="false">
      <c r="B22" s="17"/>
      <c r="C22" s="17"/>
      <c r="D22" s="17"/>
      <c r="E22" s="17"/>
      <c r="F22" s="17"/>
    </row>
    <row r="23" customFormat="false" ht="15" hidden="false" customHeight="false" outlineLevel="0" collapsed="false">
      <c r="B23" s="20" t="s">
        <v>65</v>
      </c>
      <c r="C23" s="20"/>
      <c r="D23" s="20"/>
      <c r="E23" s="20"/>
      <c r="F23" s="20"/>
    </row>
    <row r="24" customFormat="false" ht="15" hidden="false" customHeight="false" outlineLevel="0" collapsed="false">
      <c r="B24" s="21" t="s">
        <v>58</v>
      </c>
      <c r="C24" s="21" t="s">
        <v>66</v>
      </c>
      <c r="D24" s="21"/>
      <c r="E24" s="21" t="s">
        <v>60</v>
      </c>
      <c r="F24" s="21"/>
    </row>
    <row r="25" customFormat="false" ht="15" hidden="false" customHeight="false" outlineLevel="0" collapsed="false">
      <c r="B25" s="28" t="s">
        <v>67</v>
      </c>
      <c r="C25" s="30" t="s">
        <v>96</v>
      </c>
      <c r="D25" s="30"/>
      <c r="E25" s="42" t="s">
        <v>97</v>
      </c>
      <c r="F25" s="42"/>
    </row>
    <row r="26" customFormat="false" ht="15" hidden="false" customHeight="false" outlineLevel="0" collapsed="false">
      <c r="B26" s="28" t="s">
        <v>68</v>
      </c>
      <c r="C26" s="30" t="s">
        <v>96</v>
      </c>
      <c r="D26" s="30"/>
      <c r="E26" s="42" t="s">
        <v>97</v>
      </c>
      <c r="F26" s="42"/>
    </row>
    <row r="27" customFormat="false" ht="15" hidden="false" customHeight="false" outlineLevel="0" collapsed="false">
      <c r="B27" s="28" t="s">
        <v>70</v>
      </c>
      <c r="C27" s="30" t="s">
        <v>96</v>
      </c>
      <c r="D27" s="30"/>
      <c r="E27" s="42" t="s">
        <v>97</v>
      </c>
      <c r="F27" s="42"/>
    </row>
    <row r="28" customFormat="false" ht="15" hidden="false" customHeight="false" outlineLevel="0" collapsed="false">
      <c r="B28" s="28" t="s">
        <v>98</v>
      </c>
      <c r="C28" s="30" t="s">
        <v>99</v>
      </c>
      <c r="D28" s="30"/>
      <c r="E28" s="18" t="n">
        <v>0</v>
      </c>
      <c r="F28" s="18"/>
    </row>
    <row r="29" customFormat="false" ht="15" hidden="false" customHeight="false" outlineLevel="0" collapsed="false">
      <c r="B29" s="28" t="s">
        <v>100</v>
      </c>
      <c r="C29" s="30" t="s">
        <v>101</v>
      </c>
      <c r="D29" s="30"/>
      <c r="E29" s="18" t="n">
        <v>0</v>
      </c>
      <c r="F29" s="18"/>
    </row>
    <row r="30" customFormat="false" ht="15" hidden="false" customHeight="false" outlineLevel="0" collapsed="false">
      <c r="B30" s="28" t="s">
        <v>102</v>
      </c>
      <c r="C30" s="30" t="s">
        <v>103</v>
      </c>
      <c r="D30" s="30"/>
      <c r="E30" s="18" t="n">
        <v>0</v>
      </c>
      <c r="F30" s="18"/>
    </row>
    <row r="31" customFormat="false" ht="15" hidden="false" customHeight="false" outlineLevel="0" collapsed="false">
      <c r="B31" s="26" t="s">
        <v>75</v>
      </c>
      <c r="C31" s="25"/>
      <c r="D31" s="25"/>
      <c r="E31" s="33" t="n">
        <f aca="false">SUM(E25:F30)</f>
        <v>0</v>
      </c>
      <c r="F31" s="33"/>
    </row>
    <row r="32" customFormat="false" ht="15" hidden="false" customHeight="false" outlineLevel="0" collapsed="false">
      <c r="B32" s="17"/>
      <c r="C32" s="17"/>
      <c r="D32" s="17"/>
      <c r="E32" s="17"/>
      <c r="F32" s="17"/>
    </row>
    <row r="33" customFormat="false" ht="27.75" hidden="false" customHeight="true" outlineLevel="0" collapsed="false">
      <c r="B33" s="34" t="s">
        <v>76</v>
      </c>
      <c r="C33" s="34"/>
      <c r="D33" s="34"/>
      <c r="E33" s="35" t="n">
        <f aca="false">E21-E31</f>
        <v>421260</v>
      </c>
      <c r="F33" s="35"/>
    </row>
    <row r="34" customFormat="false" ht="15" hidden="false" customHeight="false" outlineLevel="0" collapsed="false">
      <c r="B34" s="17"/>
      <c r="C34" s="17"/>
      <c r="D34" s="17"/>
      <c r="E34" s="17"/>
      <c r="F34" s="17"/>
    </row>
    <row r="35" customFormat="false" ht="15" hidden="false" customHeight="false" outlineLevel="0" collapsed="false">
      <c r="B35" s="36" t="s">
        <v>77</v>
      </c>
      <c r="C35" s="36"/>
      <c r="D35" s="36"/>
      <c r="E35" s="36"/>
      <c r="F35" s="36"/>
    </row>
    <row r="36" customFormat="false" ht="15" hidden="false" customHeight="false" outlineLevel="0" collapsed="false">
      <c r="B36" s="37" t="s">
        <v>82</v>
      </c>
      <c r="C36" s="37"/>
      <c r="D36" s="37"/>
      <c r="E36" s="18" t="n">
        <f aca="false">ROUND(E21*WC,0)</f>
        <v>3581</v>
      </c>
      <c r="F36" s="18"/>
    </row>
    <row r="37" customFormat="false" ht="15" hidden="false" customHeight="false" outlineLevel="0" collapsed="false">
      <c r="B37" s="43" t="s">
        <v>104</v>
      </c>
      <c r="C37" s="43"/>
      <c r="D37" s="43"/>
      <c r="E37" s="42" t="s">
        <v>105</v>
      </c>
      <c r="F37" s="42"/>
    </row>
    <row r="38" customFormat="false" ht="15" hidden="false" customHeight="false" outlineLevel="0" collapsed="false">
      <c r="B38" s="4" t="s">
        <v>83</v>
      </c>
      <c r="C38" s="4"/>
      <c r="D38" s="4"/>
      <c r="E38" s="38" t="n">
        <f aca="false">ROUND(E21*WC,0)</f>
        <v>3581</v>
      </c>
      <c r="F38" s="38"/>
    </row>
    <row r="41" customFormat="false" ht="15" hidden="false" customHeight="false" outlineLevel="0" collapsed="false">
      <c r="B41" s="12" t="s">
        <v>84</v>
      </c>
      <c r="C41" s="12"/>
      <c r="D41" s="12"/>
      <c r="E41" s="12"/>
      <c r="F41" s="12"/>
    </row>
    <row r="43" customFormat="false" ht="15" hidden="false" customHeight="false" outlineLevel="0" collapsed="false">
      <c r="B43" s="39" t="s">
        <v>85</v>
      </c>
      <c r="C43" s="40" t="s">
        <v>86</v>
      </c>
      <c r="D43" s="40"/>
      <c r="E43" s="39" t="s">
        <v>87</v>
      </c>
      <c r="F43" s="41" t="s">
        <v>86</v>
      </c>
    </row>
    <row r="45" customFormat="false" ht="15" hidden="false" customHeight="false" outlineLevel="0" collapsed="false">
      <c r="B45" s="2" t="s">
        <v>88</v>
      </c>
      <c r="C45" s="2"/>
      <c r="D45" s="2"/>
      <c r="E45" s="2"/>
      <c r="F45" s="2"/>
    </row>
  </sheetData>
  <mergeCells count="49">
    <mergeCell ref="B2:F2"/>
    <mergeCell ref="B3:F3"/>
    <mergeCell ref="B5:F5"/>
    <mergeCell ref="E6:F6"/>
    <mergeCell ref="E7:F7"/>
    <mergeCell ref="B9:F9"/>
    <mergeCell ref="C10:F10"/>
    <mergeCell ref="C11:F11"/>
    <mergeCell ref="B13:F13"/>
    <mergeCell ref="D14:F14"/>
    <mergeCell ref="D15:F15"/>
    <mergeCell ref="B17:F17"/>
    <mergeCell ref="C18:D18"/>
    <mergeCell ref="E18:F18"/>
    <mergeCell ref="C19:D19"/>
    <mergeCell ref="E19:F19"/>
    <mergeCell ref="C20:D20"/>
    <mergeCell ref="E20:F20"/>
    <mergeCell ref="C21:D21"/>
    <mergeCell ref="E21:F21"/>
    <mergeCell ref="B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B33:D33"/>
    <mergeCell ref="E33:F33"/>
    <mergeCell ref="B35:F35"/>
    <mergeCell ref="B36:D36"/>
    <mergeCell ref="E36:F36"/>
    <mergeCell ref="B37:D37"/>
    <mergeCell ref="E37:F37"/>
    <mergeCell ref="B38:D38"/>
    <mergeCell ref="E38:F38"/>
    <mergeCell ref="B41:F41"/>
    <mergeCell ref="C43:D43"/>
    <mergeCell ref="B45:F45"/>
  </mergeCells>
  <printOptions headings="false" gridLines="false" gridLinesSet="true" horizontalCentered="true" verticalCentered="false"/>
  <pageMargins left="0.75" right="0.7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20"/>
  </cols>
  <sheetData>
    <row r="2" customFormat="false" ht="22.05" hidden="false" customHeight="false" outlineLevel="0" collapsed="false">
      <c r="B2" s="44" t="s">
        <v>109</v>
      </c>
      <c r="C2" s="44"/>
      <c r="D2" s="44"/>
      <c r="E2" s="44"/>
      <c r="F2" s="44"/>
      <c r="G2" s="44"/>
      <c r="H2" s="44"/>
    </row>
    <row r="4" customFormat="false" ht="15" hidden="false" customHeight="false" outlineLevel="0" collapsed="false">
      <c r="B4" s="2" t="s">
        <v>110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20" t="s">
        <v>111</v>
      </c>
      <c r="C6" s="20" t="s">
        <v>112</v>
      </c>
      <c r="D6" s="20" t="s">
        <v>113</v>
      </c>
      <c r="E6" s="20" t="s">
        <v>114</v>
      </c>
      <c r="F6" s="20" t="s">
        <v>115</v>
      </c>
      <c r="G6" s="20" t="s">
        <v>116</v>
      </c>
      <c r="H6" s="20" t="s">
        <v>117</v>
      </c>
      <c r="I6" s="20" t="s">
        <v>118</v>
      </c>
    </row>
    <row r="7" customFormat="false" ht="15" hidden="false" customHeight="false" outlineLevel="0" collapsed="false">
      <c r="B7" s="45" t="s">
        <v>119</v>
      </c>
      <c r="C7" s="46" t="str">
        <f aca="false">TEXT(B7,"aaa")</f>
        <v>Wed</v>
      </c>
      <c r="D7" s="45" t="s">
        <v>120</v>
      </c>
      <c r="E7" s="45" t="s">
        <v>121</v>
      </c>
      <c r="F7" s="45" t="s">
        <v>122</v>
      </c>
      <c r="G7" s="45" t="n">
        <v>0</v>
      </c>
      <c r="H7" s="47" t="n">
        <f aca="false">ROUND((TIMEVALUE(F7)-TIMEVALUE(E7))*24-G7/60,2)</f>
        <v>3.5</v>
      </c>
      <c r="I7" s="48"/>
    </row>
    <row r="8" customFormat="false" ht="15" hidden="false" customHeight="false" outlineLevel="0" collapsed="false">
      <c r="B8" s="45" t="s">
        <v>123</v>
      </c>
      <c r="C8" s="46" t="str">
        <f aca="false">TEXT(B8,"aaa")</f>
        <v>Thu</v>
      </c>
      <c r="D8" s="45" t="s">
        <v>120</v>
      </c>
      <c r="E8" s="45" t="s">
        <v>121</v>
      </c>
      <c r="F8" s="45" t="s">
        <v>122</v>
      </c>
      <c r="G8" s="45" t="n">
        <v>0</v>
      </c>
      <c r="H8" s="47" t="n">
        <f aca="false">ROUND((TIMEVALUE(F8)-TIMEVALUE(E8))*24-G8/60,2)</f>
        <v>3.5</v>
      </c>
      <c r="I8" s="48"/>
    </row>
    <row r="9" customFormat="false" ht="15" hidden="false" customHeight="false" outlineLevel="0" collapsed="false">
      <c r="B9" s="45" t="s">
        <v>124</v>
      </c>
      <c r="C9" s="46" t="str">
        <f aca="false">TEXT(B9,"aaa")</f>
        <v>Fri</v>
      </c>
      <c r="D9" s="45" t="s">
        <v>120</v>
      </c>
      <c r="E9" s="45" t="s">
        <v>121</v>
      </c>
      <c r="F9" s="45" t="s">
        <v>122</v>
      </c>
      <c r="G9" s="45" t="n">
        <v>0</v>
      </c>
      <c r="H9" s="47" t="n">
        <f aca="false">ROUND((TIMEVALUE(F9)-TIMEVALUE(E9))*24-G9/60,2)</f>
        <v>3.5</v>
      </c>
      <c r="I9" s="48"/>
    </row>
    <row r="10" customFormat="false" ht="15" hidden="false" customHeight="false" outlineLevel="0" collapsed="false">
      <c r="B10" s="45" t="s">
        <v>125</v>
      </c>
      <c r="C10" s="46" t="str">
        <f aca="false">TEXT(B10,"aaa")</f>
        <v>Sat</v>
      </c>
      <c r="D10" s="45" t="s">
        <v>120</v>
      </c>
      <c r="E10" s="45" t="s">
        <v>121</v>
      </c>
      <c r="F10" s="45" t="s">
        <v>122</v>
      </c>
      <c r="G10" s="45" t="n">
        <v>0</v>
      </c>
      <c r="H10" s="47" t="n">
        <f aca="false">ROUND((TIMEVALUE(F10)-TIMEVALUE(E10))*24-G10/60,2)</f>
        <v>3.5</v>
      </c>
      <c r="I10" s="48"/>
    </row>
    <row r="11" customFormat="false" ht="15" hidden="false" customHeight="false" outlineLevel="0" collapsed="false">
      <c r="B11" s="45" t="s">
        <v>126</v>
      </c>
      <c r="C11" s="46" t="str">
        <f aca="false">TEXT(B11,"aaa")</f>
        <v>Sun</v>
      </c>
      <c r="D11" s="45" t="s">
        <v>120</v>
      </c>
      <c r="E11" s="45" t="s">
        <v>121</v>
      </c>
      <c r="F11" s="45" t="s">
        <v>122</v>
      </c>
      <c r="G11" s="45" t="n">
        <v>0</v>
      </c>
      <c r="H11" s="47" t="n">
        <f aca="false">ROUND((TIMEVALUE(F11)-TIMEVALUE(E11))*24-G11/60,2)</f>
        <v>3.5</v>
      </c>
      <c r="I11" s="48"/>
    </row>
    <row r="12" customFormat="false" ht="15" hidden="false" customHeight="false" outlineLevel="0" collapsed="false">
      <c r="B12" s="45" t="s">
        <v>127</v>
      </c>
      <c r="C12" s="46" t="str">
        <f aca="false">TEXT(B12,"aaa")</f>
        <v>Mon</v>
      </c>
      <c r="D12" s="45" t="s">
        <v>120</v>
      </c>
      <c r="E12" s="45" t="s">
        <v>121</v>
      </c>
      <c r="F12" s="45" t="s">
        <v>122</v>
      </c>
      <c r="G12" s="45" t="n">
        <v>0</v>
      </c>
      <c r="H12" s="47" t="n">
        <f aca="false">ROUND((TIMEVALUE(F12)-TIMEVALUE(E12))*24-G12/60,2)</f>
        <v>3.5</v>
      </c>
      <c r="I12" s="48"/>
    </row>
    <row r="13" customFormat="false" ht="15" hidden="false" customHeight="false" outlineLevel="0" collapsed="false">
      <c r="B13" s="45" t="s">
        <v>128</v>
      </c>
      <c r="C13" s="46" t="str">
        <f aca="false">TEXT(B13,"aaa")</f>
        <v>Tue</v>
      </c>
      <c r="D13" s="45" t="s">
        <v>120</v>
      </c>
      <c r="E13" s="45" t="s">
        <v>121</v>
      </c>
      <c r="F13" s="45" t="s">
        <v>122</v>
      </c>
      <c r="G13" s="45" t="n">
        <v>0</v>
      </c>
      <c r="H13" s="47" t="n">
        <f aca="false">ROUND((TIMEVALUE(F13)-TIMEVALUE(E13))*24-G13/60,2)</f>
        <v>3.5</v>
      </c>
      <c r="I13" s="48"/>
    </row>
    <row r="14" customFormat="false" ht="15" hidden="false" customHeight="false" outlineLevel="0" collapsed="false">
      <c r="B14" s="45" t="s">
        <v>129</v>
      </c>
      <c r="C14" s="46" t="str">
        <f aca="false">TEXT(B14,"aaa")</f>
        <v>Wed</v>
      </c>
      <c r="D14" s="45" t="s">
        <v>120</v>
      </c>
      <c r="E14" s="45" t="s">
        <v>121</v>
      </c>
      <c r="F14" s="45" t="s">
        <v>122</v>
      </c>
      <c r="G14" s="45" t="n">
        <v>0</v>
      </c>
      <c r="H14" s="47" t="n">
        <f aca="false">ROUND((TIMEVALUE(F14)-TIMEVALUE(E14))*24-G14/60,2)</f>
        <v>3.5</v>
      </c>
      <c r="I14" s="48"/>
    </row>
    <row r="15" customFormat="false" ht="15" hidden="false" customHeight="false" outlineLevel="0" collapsed="false">
      <c r="B15" s="45" t="s">
        <v>130</v>
      </c>
      <c r="C15" s="46" t="str">
        <f aca="false">TEXT(B15,"aaa")</f>
        <v>Thu</v>
      </c>
      <c r="D15" s="45" t="s">
        <v>120</v>
      </c>
      <c r="E15" s="45" t="s">
        <v>121</v>
      </c>
      <c r="F15" s="45" t="s">
        <v>122</v>
      </c>
      <c r="G15" s="45" t="n">
        <v>0</v>
      </c>
      <c r="H15" s="47" t="n">
        <f aca="false">ROUND((TIMEVALUE(F15)-TIMEVALUE(E15))*24-G15/60,2)</f>
        <v>3.5</v>
      </c>
      <c r="I15" s="48"/>
    </row>
    <row r="16" customFormat="false" ht="15" hidden="false" customHeight="false" outlineLevel="0" collapsed="false">
      <c r="B16" s="45" t="s">
        <v>131</v>
      </c>
      <c r="C16" s="46" t="str">
        <f aca="false">TEXT(B16,"aaa")</f>
        <v>Fri</v>
      </c>
      <c r="D16" s="45" t="s">
        <v>120</v>
      </c>
      <c r="E16" s="45" t="s">
        <v>121</v>
      </c>
      <c r="F16" s="45" t="s">
        <v>122</v>
      </c>
      <c r="G16" s="45" t="n">
        <v>0</v>
      </c>
      <c r="H16" s="47" t="n">
        <f aca="false">ROUND((TIMEVALUE(F16)-TIMEVALUE(E16))*24-G16/60,2)</f>
        <v>3.5</v>
      </c>
      <c r="I16" s="48"/>
    </row>
    <row r="17" customFormat="false" ht="15" hidden="false" customHeight="false" outlineLevel="0" collapsed="false">
      <c r="B17" s="45" t="s">
        <v>132</v>
      </c>
      <c r="C17" s="46" t="str">
        <f aca="false">TEXT(B17,"aaa")</f>
        <v>Sat</v>
      </c>
      <c r="D17" s="45" t="s">
        <v>120</v>
      </c>
      <c r="E17" s="45" t="s">
        <v>121</v>
      </c>
      <c r="F17" s="45" t="s">
        <v>122</v>
      </c>
      <c r="G17" s="45" t="n">
        <v>0</v>
      </c>
      <c r="H17" s="47" t="n">
        <f aca="false">ROUND((TIMEVALUE(F17)-TIMEVALUE(E17))*24-G17/60,2)</f>
        <v>3.5</v>
      </c>
      <c r="I17" s="48"/>
    </row>
    <row r="18" customFormat="false" ht="15" hidden="false" customHeight="false" outlineLevel="0" collapsed="false">
      <c r="B18" s="45" t="s">
        <v>133</v>
      </c>
      <c r="C18" s="46" t="str">
        <f aca="false">TEXT(B18,"aaa")</f>
        <v>Sun</v>
      </c>
      <c r="D18" s="45" t="s">
        <v>120</v>
      </c>
      <c r="E18" s="45" t="s">
        <v>121</v>
      </c>
      <c r="F18" s="45" t="s">
        <v>122</v>
      </c>
      <c r="G18" s="45" t="n">
        <v>0</v>
      </c>
      <c r="H18" s="47" t="n">
        <f aca="false">ROUND((TIMEVALUE(F18)-TIMEVALUE(E18))*24-G18/60,2)</f>
        <v>3.5</v>
      </c>
      <c r="I18" s="48"/>
    </row>
    <row r="19" customFormat="false" ht="15" hidden="false" customHeight="false" outlineLevel="0" collapsed="false">
      <c r="B19" s="45" t="s">
        <v>134</v>
      </c>
      <c r="C19" s="46" t="str">
        <f aca="false">TEXT(B19,"aaa")</f>
        <v>Mon</v>
      </c>
      <c r="D19" s="45" t="s">
        <v>120</v>
      </c>
      <c r="E19" s="45" t="s">
        <v>121</v>
      </c>
      <c r="F19" s="45" t="s">
        <v>122</v>
      </c>
      <c r="G19" s="45" t="n">
        <v>0</v>
      </c>
      <c r="H19" s="47" t="n">
        <f aca="false">ROUND((TIMEVALUE(F19)-TIMEVALUE(E19))*24-G19/60,2)</f>
        <v>3.5</v>
      </c>
      <c r="I19" s="48"/>
    </row>
    <row r="20" customFormat="false" ht="15" hidden="false" customHeight="false" outlineLevel="0" collapsed="false">
      <c r="B20" s="45" t="s">
        <v>135</v>
      </c>
      <c r="C20" s="46" t="str">
        <f aca="false">TEXT(B20,"aaa")</f>
        <v>Tue</v>
      </c>
      <c r="D20" s="45" t="s">
        <v>120</v>
      </c>
      <c r="E20" s="45" t="s">
        <v>121</v>
      </c>
      <c r="F20" s="45" t="s">
        <v>122</v>
      </c>
      <c r="G20" s="45" t="n">
        <v>0</v>
      </c>
      <c r="H20" s="47" t="n">
        <f aca="false">ROUND((TIMEVALUE(F20)-TIMEVALUE(E20))*24-G20/60,2)</f>
        <v>3.5</v>
      </c>
      <c r="I20" s="48"/>
    </row>
    <row r="21" customFormat="false" ht="15" hidden="false" customHeight="false" outlineLevel="0" collapsed="false">
      <c r="B21" s="45" t="s">
        <v>136</v>
      </c>
      <c r="C21" s="46" t="str">
        <f aca="false">TEXT(B21,"aaa")</f>
        <v>Wed</v>
      </c>
      <c r="D21" s="45" t="s">
        <v>120</v>
      </c>
      <c r="E21" s="45" t="s">
        <v>121</v>
      </c>
      <c r="F21" s="45" t="s">
        <v>122</v>
      </c>
      <c r="G21" s="45" t="n">
        <v>0</v>
      </c>
      <c r="H21" s="47" t="n">
        <f aca="false">ROUND((TIMEVALUE(F21)-TIMEVALUE(E21))*24-G21/60,2)</f>
        <v>3.5</v>
      </c>
      <c r="I21" s="48"/>
    </row>
    <row r="22" customFormat="false" ht="15" hidden="false" customHeight="false" outlineLevel="0" collapsed="false">
      <c r="B22" s="45" t="s">
        <v>137</v>
      </c>
      <c r="C22" s="46" t="str">
        <f aca="false">TEXT(B22,"aaa")</f>
        <v>Thu</v>
      </c>
      <c r="D22" s="45" t="s">
        <v>120</v>
      </c>
      <c r="E22" s="45" t="s">
        <v>121</v>
      </c>
      <c r="F22" s="45" t="s">
        <v>122</v>
      </c>
      <c r="G22" s="45" t="n">
        <v>0</v>
      </c>
      <c r="H22" s="47" t="n">
        <f aca="false">ROUND((TIMEVALUE(F22)-TIMEVALUE(E22))*24-G22/60,2)</f>
        <v>3.5</v>
      </c>
      <c r="I22" s="48"/>
    </row>
    <row r="23" customFormat="false" ht="15" hidden="false" customHeight="false" outlineLevel="0" collapsed="false">
      <c r="B23" s="45" t="s">
        <v>138</v>
      </c>
      <c r="C23" s="46" t="str">
        <f aca="false">TEXT(B23,"aaa")</f>
        <v>Fri</v>
      </c>
      <c r="D23" s="45" t="s">
        <v>120</v>
      </c>
      <c r="E23" s="45" t="s">
        <v>121</v>
      </c>
      <c r="F23" s="45" t="s">
        <v>122</v>
      </c>
      <c r="G23" s="45" t="n">
        <v>0</v>
      </c>
      <c r="H23" s="47" t="n">
        <f aca="false">ROUND((TIMEVALUE(F23)-TIMEVALUE(E23))*24-G23/60,2)</f>
        <v>3.5</v>
      </c>
      <c r="I23" s="48"/>
    </row>
    <row r="24" customFormat="false" ht="15" hidden="false" customHeight="false" outlineLevel="0" collapsed="false">
      <c r="B24" s="45" t="s">
        <v>139</v>
      </c>
      <c r="C24" s="46" t="str">
        <f aca="false">TEXT(B24,"aaa")</f>
        <v>Sat</v>
      </c>
      <c r="D24" s="45" t="s">
        <v>120</v>
      </c>
      <c r="E24" s="45" t="s">
        <v>121</v>
      </c>
      <c r="F24" s="45" t="s">
        <v>122</v>
      </c>
      <c r="G24" s="45" t="n">
        <v>0</v>
      </c>
      <c r="H24" s="47" t="n">
        <f aca="false">ROUND((TIMEVALUE(F24)-TIMEVALUE(E24))*24-G24/60,2)</f>
        <v>3.5</v>
      </c>
      <c r="I24" s="48"/>
    </row>
    <row r="25" customFormat="false" ht="15" hidden="false" customHeight="false" outlineLevel="0" collapsed="false">
      <c r="B25" s="45" t="s">
        <v>140</v>
      </c>
      <c r="C25" s="46" t="str">
        <f aca="false">TEXT(B25,"aaa")</f>
        <v>Sun</v>
      </c>
      <c r="D25" s="45" t="s">
        <v>120</v>
      </c>
      <c r="E25" s="45" t="s">
        <v>121</v>
      </c>
      <c r="F25" s="45" t="s">
        <v>122</v>
      </c>
      <c r="G25" s="45" t="n">
        <v>0</v>
      </c>
      <c r="H25" s="47" t="n">
        <f aca="false">ROUND((TIMEVALUE(F25)-TIMEVALUE(E25))*24-G25/60,2)</f>
        <v>3.5</v>
      </c>
      <c r="I25" s="48"/>
    </row>
    <row r="26" customFormat="false" ht="15" hidden="false" customHeight="false" outlineLevel="0" collapsed="false">
      <c r="B26" s="45" t="s">
        <v>141</v>
      </c>
      <c r="C26" s="46" t="str">
        <f aca="false">TEXT(B26,"aaa")</f>
        <v>Mon</v>
      </c>
      <c r="D26" s="45" t="s">
        <v>120</v>
      </c>
      <c r="E26" s="45" t="s">
        <v>121</v>
      </c>
      <c r="F26" s="45" t="s">
        <v>122</v>
      </c>
      <c r="G26" s="45" t="n">
        <v>0</v>
      </c>
      <c r="H26" s="47" t="n">
        <f aca="false">ROUND((TIMEVALUE(F26)-TIMEVALUE(E26))*24-G26/60,2)</f>
        <v>3.5</v>
      </c>
      <c r="I26" s="48"/>
    </row>
    <row r="27" customFormat="false" ht="15" hidden="false" customHeight="false" outlineLevel="0" collapsed="false">
      <c r="B27" s="45" t="s">
        <v>142</v>
      </c>
      <c r="C27" s="46" t="str">
        <f aca="false">TEXT(B27,"aaa")</f>
        <v>Tue</v>
      </c>
      <c r="D27" s="45" t="s">
        <v>120</v>
      </c>
      <c r="E27" s="45" t="s">
        <v>121</v>
      </c>
      <c r="F27" s="45" t="s">
        <v>122</v>
      </c>
      <c r="G27" s="45" t="n">
        <v>0</v>
      </c>
      <c r="H27" s="47" t="n">
        <f aca="false">ROUND((TIMEVALUE(F27)-TIMEVALUE(E27))*24-G27/60,2)</f>
        <v>3.5</v>
      </c>
      <c r="I27" s="48"/>
    </row>
    <row r="28" customFormat="false" ht="15" hidden="false" customHeight="false" outlineLevel="0" collapsed="false">
      <c r="B28" s="45" t="s">
        <v>143</v>
      </c>
      <c r="C28" s="46" t="str">
        <f aca="false">TEXT(B28,"aaa")</f>
        <v>Wed</v>
      </c>
      <c r="D28" s="45" t="s">
        <v>120</v>
      </c>
      <c r="E28" s="45" t="s">
        <v>121</v>
      </c>
      <c r="F28" s="45" t="s">
        <v>122</v>
      </c>
      <c r="G28" s="45" t="n">
        <v>0</v>
      </c>
      <c r="H28" s="47" t="n">
        <f aca="false">ROUND((TIMEVALUE(F28)-TIMEVALUE(E28))*24-G28/60,2)</f>
        <v>3.5</v>
      </c>
      <c r="I28" s="48"/>
    </row>
    <row r="29" customFormat="false" ht="15" hidden="false" customHeight="false" outlineLevel="0" collapsed="false">
      <c r="B29" s="45" t="s">
        <v>144</v>
      </c>
      <c r="C29" s="46" t="str">
        <f aca="false">TEXT(B29,"aaa")</f>
        <v>Thu</v>
      </c>
      <c r="D29" s="45" t="s">
        <v>120</v>
      </c>
      <c r="E29" s="45" t="s">
        <v>121</v>
      </c>
      <c r="F29" s="45" t="s">
        <v>122</v>
      </c>
      <c r="G29" s="45" t="n">
        <v>0</v>
      </c>
      <c r="H29" s="47" t="n">
        <f aca="false">ROUND((TIMEVALUE(F29)-TIMEVALUE(E29))*24-G29/60,2)</f>
        <v>3.5</v>
      </c>
      <c r="I29" s="48"/>
    </row>
    <row r="30" customFormat="false" ht="15" hidden="false" customHeight="false" outlineLevel="0" collapsed="false">
      <c r="B30" s="45" t="s">
        <v>145</v>
      </c>
      <c r="C30" s="46" t="str">
        <f aca="false">TEXT(B30,"aaa")</f>
        <v>Fri</v>
      </c>
      <c r="D30" s="45" t="s">
        <v>120</v>
      </c>
      <c r="E30" s="45" t="s">
        <v>121</v>
      </c>
      <c r="F30" s="45" t="s">
        <v>122</v>
      </c>
      <c r="G30" s="45" t="n">
        <v>0</v>
      </c>
      <c r="H30" s="47" t="n">
        <f aca="false">ROUND((TIMEVALUE(F30)-TIMEVALUE(E30))*24-G30/60,2)</f>
        <v>3.5</v>
      </c>
      <c r="I30" s="48"/>
    </row>
    <row r="31" customFormat="false" ht="15" hidden="false" customHeight="false" outlineLevel="0" collapsed="false">
      <c r="B31" s="45" t="s">
        <v>146</v>
      </c>
      <c r="C31" s="46" t="str">
        <f aca="false">TEXT(B31,"aaa")</f>
        <v>Sat</v>
      </c>
      <c r="D31" s="45" t="s">
        <v>120</v>
      </c>
      <c r="E31" s="45" t="s">
        <v>121</v>
      </c>
      <c r="F31" s="45" t="s">
        <v>122</v>
      </c>
      <c r="G31" s="45" t="n">
        <v>0</v>
      </c>
      <c r="H31" s="47" t="n">
        <f aca="false">ROUND((TIMEVALUE(F31)-TIMEVALUE(E31))*24-G31/60,2)</f>
        <v>3.5</v>
      </c>
      <c r="I31" s="48"/>
    </row>
    <row r="32" customFormat="false" ht="15" hidden="false" customHeight="false" outlineLevel="0" collapsed="false">
      <c r="B32" s="45" t="s">
        <v>147</v>
      </c>
      <c r="C32" s="46" t="str">
        <f aca="false">TEXT(B32,"aaa")</f>
        <v>Sun</v>
      </c>
      <c r="D32" s="45" t="s">
        <v>120</v>
      </c>
      <c r="E32" s="45" t="s">
        <v>121</v>
      </c>
      <c r="F32" s="45" t="s">
        <v>122</v>
      </c>
      <c r="G32" s="45" t="n">
        <v>0</v>
      </c>
      <c r="H32" s="47" t="n">
        <f aca="false">ROUND((TIMEVALUE(F32)-TIMEVALUE(E32))*24-G32/60,2)</f>
        <v>3.5</v>
      </c>
      <c r="I32" s="48"/>
    </row>
    <row r="33" customFormat="false" ht="15" hidden="false" customHeight="false" outlineLevel="0" collapsed="false">
      <c r="B33" s="45" t="s">
        <v>148</v>
      </c>
      <c r="C33" s="46" t="str">
        <f aca="false">TEXT(B33,"aaa")</f>
        <v>Mon</v>
      </c>
      <c r="D33" s="45" t="s">
        <v>120</v>
      </c>
      <c r="E33" s="45" t="s">
        <v>121</v>
      </c>
      <c r="F33" s="45" t="s">
        <v>122</v>
      </c>
      <c r="G33" s="45" t="n">
        <v>0</v>
      </c>
      <c r="H33" s="47" t="n">
        <f aca="false">ROUND((TIMEVALUE(F33)-TIMEVALUE(E33))*24-G33/60,2)</f>
        <v>3.5</v>
      </c>
      <c r="I33" s="48"/>
    </row>
    <row r="34" customFormat="false" ht="15" hidden="false" customHeight="false" outlineLevel="0" collapsed="false">
      <c r="B34" s="45" t="s">
        <v>149</v>
      </c>
      <c r="C34" s="46" t="str">
        <f aca="false">TEXT(B34,"aaa")</f>
        <v>Tue</v>
      </c>
      <c r="D34" s="45" t="s">
        <v>120</v>
      </c>
      <c r="E34" s="45" t="s">
        <v>121</v>
      </c>
      <c r="F34" s="45" t="s">
        <v>122</v>
      </c>
      <c r="G34" s="45" t="n">
        <v>0</v>
      </c>
      <c r="H34" s="47" t="n">
        <f aca="false">ROUND((TIMEVALUE(F34)-TIMEVALUE(E34))*24-G34/60,2)</f>
        <v>3.5</v>
      </c>
      <c r="I34" s="48"/>
    </row>
    <row r="35" customFormat="false" ht="15" hidden="false" customHeight="false" outlineLevel="0" collapsed="false">
      <c r="B35" s="45" t="s">
        <v>150</v>
      </c>
      <c r="C35" s="46" t="str">
        <f aca="false">TEXT(B35,"aaa")</f>
        <v>Wed</v>
      </c>
      <c r="D35" s="45" t="s">
        <v>120</v>
      </c>
      <c r="E35" s="45" t="s">
        <v>121</v>
      </c>
      <c r="F35" s="45" t="s">
        <v>122</v>
      </c>
      <c r="G35" s="45" t="n">
        <v>0</v>
      </c>
      <c r="H35" s="47" t="n">
        <f aca="false">ROUND((TIMEVALUE(F35)-TIMEVALUE(E35))*24-G35/60,2)</f>
        <v>3.5</v>
      </c>
      <c r="I35" s="48"/>
    </row>
    <row r="36" customFormat="false" ht="15" hidden="false" customHeight="false" outlineLevel="0" collapsed="false">
      <c r="B36" s="45" t="s">
        <v>151</v>
      </c>
      <c r="C36" s="46" t="str">
        <f aca="false">TEXT(B36,"aaa")</f>
        <v>Thu</v>
      </c>
      <c r="D36" s="45" t="s">
        <v>120</v>
      </c>
      <c r="E36" s="45" t="s">
        <v>121</v>
      </c>
      <c r="F36" s="45" t="s">
        <v>122</v>
      </c>
      <c r="G36" s="45" t="n">
        <v>0</v>
      </c>
      <c r="H36" s="47" t="n">
        <f aca="false">ROUND((TIMEVALUE(F36)-TIMEVALUE(E36))*24-G36/60,2)</f>
        <v>3.5</v>
      </c>
      <c r="I36" s="48"/>
    </row>
    <row r="37" customFormat="false" ht="15" hidden="false" customHeight="false" outlineLevel="0" collapsed="false">
      <c r="B37" s="45" t="s">
        <v>152</v>
      </c>
      <c r="C37" s="46" t="str">
        <f aca="false">TEXT(B37,"aaa")</f>
        <v>2026-04-31</v>
      </c>
      <c r="D37" s="45" t="s">
        <v>120</v>
      </c>
      <c r="E37" s="45" t="s">
        <v>121</v>
      </c>
      <c r="F37" s="45" t="s">
        <v>122</v>
      </c>
      <c r="G37" s="45" t="n">
        <v>0</v>
      </c>
      <c r="H37" s="47" t="n">
        <f aca="false">ROUND((TIMEVALUE(F37)-TIMEVALUE(E37))*24-G37/60,2)</f>
        <v>3.5</v>
      </c>
      <c r="I37" s="48"/>
    </row>
    <row r="38" customFormat="false" ht="15" hidden="false" customHeight="false" outlineLevel="0" collapsed="false">
      <c r="B38" s="26" t="s">
        <v>153</v>
      </c>
      <c r="C38" s="26"/>
      <c r="D38" s="26"/>
      <c r="E38" s="26"/>
      <c r="F38" s="26"/>
      <c r="G38" s="26"/>
      <c r="H38" s="49" t="n">
        <f aca="false">SUM(H7:H37)</f>
        <v>108.5</v>
      </c>
      <c r="I38" s="17"/>
    </row>
  </sheetData>
  <mergeCells count="3">
    <mergeCell ref="B2:H2"/>
    <mergeCell ref="B4:H4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2026-04-28T06:30:30Z</dcterms:created>
  <dc:creator>openpyxl</dc:creator>
  <dc:description/>
  <dc:language>en-US</dc:language>
  <cp:lastModifiedBy/>
  <dcterms:modified xsi:type="dcterms:W3CDTF">2026-04-28T06:30:30Z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